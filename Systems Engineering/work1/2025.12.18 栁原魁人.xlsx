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o\TeX-Folder\Systems Engineering\work1\"/>
    </mc:Choice>
  </mc:AlternateContent>
  <xr:revisionPtr revIDLastSave="0" documentId="13_ncr:1_{B141234C-DE56-4784-B050-319D18826E37}" xr6:coauthVersionLast="47" xr6:coauthVersionMax="47" xr10:uidLastSave="{00000000-0000-0000-0000-000000000000}"/>
  <bookViews>
    <workbookView xWindow="14310" yWindow="0" windowWidth="14580" windowHeight="17370" xr2:uid="{2D9D279B-0571-4FC0-86AD-69BD68A622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F19" i="1" s="1"/>
  <c r="G18" i="1"/>
  <c r="G19" i="1" s="1"/>
  <c r="H18" i="1"/>
  <c r="H19" i="1" s="1"/>
  <c r="I18" i="1"/>
  <c r="I19" i="1" s="1"/>
  <c r="J18" i="1"/>
  <c r="J19" i="1" s="1"/>
  <c r="K18" i="1"/>
  <c r="K19" i="1" s="1"/>
  <c r="B17" i="1"/>
  <c r="B19" i="1" s="1"/>
  <c r="C17" i="1"/>
  <c r="C19" i="1" s="1"/>
  <c r="D17" i="1"/>
  <c r="D19" i="1" s="1"/>
  <c r="E17" i="1"/>
  <c r="E19" i="1" s="1"/>
  <c r="F17" i="1"/>
  <c r="G17" i="1"/>
  <c r="H17" i="1"/>
  <c r="I17" i="1"/>
  <c r="J17" i="1"/>
  <c r="K17" i="1"/>
  <c r="C16" i="1"/>
  <c r="D16" i="1"/>
  <c r="E16" i="1"/>
  <c r="F16" i="1"/>
  <c r="G16" i="1"/>
  <c r="H16" i="1"/>
  <c r="I16" i="1"/>
  <c r="J16" i="1"/>
  <c r="K16" i="1"/>
  <c r="B16" i="1"/>
  <c r="C15" i="1"/>
  <c r="D15" i="1"/>
  <c r="E15" i="1"/>
  <c r="F15" i="1"/>
  <c r="G15" i="1"/>
  <c r="H15" i="1"/>
  <c r="I15" i="1"/>
  <c r="J15" i="1"/>
  <c r="K15" i="1"/>
  <c r="B15" i="1"/>
</calcChain>
</file>

<file path=xl/sharedStrings.xml><?xml version="1.0" encoding="utf-8"?>
<sst xmlns="http://schemas.openxmlformats.org/spreadsheetml/2006/main" count="62" uniqueCount="45">
  <si>
    <t>6月20日 (月)</t>
  </si>
  <si>
    <t>6月21日 (火)</t>
  </si>
  <si>
    <t>6月22日 (水)</t>
  </si>
  <si>
    <t>6月23日 (木)</t>
  </si>
  <si>
    <t>6月24日 (金)</t>
  </si>
  <si>
    <t>6月27日 (月)</t>
  </si>
  <si>
    <t>6月28日 (火)</t>
  </si>
  <si>
    <t>6月29日 (水)</t>
  </si>
  <si>
    <t>6月30日 (木)</t>
  </si>
  <si>
    <t>7月1日 (金)</t>
  </si>
  <si>
    <t>規格値(USL)</t>
  </si>
  <si>
    <t>測定者</t>
  </si>
  <si>
    <t>鈴木</t>
  </si>
  <si>
    <t>上田</t>
  </si>
  <si>
    <t>【課題①】最大値</t>
  </si>
  <si>
    <t>【課題①】最小値</t>
  </si>
  <si>
    <t>【課題①】平均値</t>
  </si>
  <si>
    <t>【課題①】標準偏差</t>
  </si>
  <si>
    <t>【課題②】工程能力指数(Cpk)</t>
  </si>
  <si>
    <t>【課題⑤】推測される課題およびその根拠</t>
  </si>
  <si>
    <t>1. 測定値の信頼性と人為的ミスの可能性（6月30日のデータ異常）</t>
  </si>
  <si>
    <t xml:space="preserve">   6月30日のデータにおいて、最大値「0.60 μm」という突出した異常値が記録されている。これは規格値（0.15 μm以下）の4倍に達する値であり、前後のデータ（0.01～0.05 μm程度）と比較しても物理的なめっき付着量として不自然である。</t>
  </si>
  <si>
    <t xml:space="preserve">   この日は測定者が「鈴木氏」から「上田氏」に交代した初日であることから、実際の工程異常（めっき槽の電流制御不良など）の可能性よりも、測定者が「0.06 μm」を「0.60 μm」と誤入力した、あるいは測定器のレンジ設定を誤った等の「ヒューマンエラー（測定ミス）」である可能性が極めて高い。この誤記により標準偏差が肥大化し、同日の工程能力指数（Cpk）が著しく低下（0.12）している。</t>
  </si>
  <si>
    <t xml:space="preserve">   早急に現品を再測定し、データの修正を行うとともに、測定手順の教育徹底が必要である。</t>
  </si>
  <si>
    <t>2. 「めっき厚 0.00 μm」の発生と品質リスク（過剰なコストダウン）</t>
  </si>
  <si>
    <t xml:space="preserve">   期間中、複数の日（6月24日、27日、30日、7月1日）において最小値「0.00 μm」が記録されている。</t>
  </si>
  <si>
    <t xml:space="preserve">   本製品の規格は「0.20 μm以下」「0.15 μm以下」という上限規格のみで運用されているが、物理的に「0.00 μm」は「めっきが付着していない（素地または下地めっきの露出）」ことを意味する。</t>
  </si>
  <si>
    <t xml:space="preserve">   用途が「高速信号伝送用」であることを考慮すると、金めっきの未着は接触抵抗の増大や耐食性の欠如（錆の発生）に直結し、市場での通信障害を引き起こす重大な欠陥である。</t>
  </si>
  <si>
    <t xml:space="preserve">   コストダウンを目的に規格上限を下げたことで、製造現場がめっき厚を薄く管理しようとしすぎた結果、分布の下限が0を下回り、未着品が多発している状態（工程能力不足）にあると推測される。上限だけでなく「下限規格（例：0.01 μm以上）」を設定し、管理する必要がある。</t>
  </si>
  <si>
    <t>3. 工程の安定性不足</t>
  </si>
  <si>
    <t xml:space="preserve">   工程能力指数（Cpk）の推移を見ると、日によって 1.0 未満（6月27日、30日）から 3.0 近傍（7月1日）まで激しく変動している。特に7月1日は平均値が非常に低くばらつきも小さいが、これは前述の通り「ほとんどめっきが付いていない状態」で安定してしまっている恐れがある。</t>
  </si>
  <si>
    <t xml:space="preserve">   製造ロット毎（日毎）のばらつきが大きく、安定した品質を供給できていないため、設備の点検や条件設定（電流値、搬送速度など）の見直しが求められる。</t>
  </si>
  <si>
    <t>測定月日</t>
    <phoneticPr fontId="1"/>
  </si>
  <si>
    <t>項目</t>
  </si>
  <si>
    <t>金めっき厚</t>
  </si>
  <si>
    <t>データ1(μm)</t>
    <phoneticPr fontId="1"/>
  </si>
  <si>
    <t>データ2(μm)</t>
    <phoneticPr fontId="1"/>
  </si>
  <si>
    <t>データ3(μm)</t>
    <phoneticPr fontId="1"/>
  </si>
  <si>
    <t>データ4(μm)</t>
    <phoneticPr fontId="1"/>
  </si>
  <si>
    <t>データ5(μm)</t>
    <phoneticPr fontId="1"/>
  </si>
  <si>
    <t>データ6(μm)</t>
    <phoneticPr fontId="1"/>
  </si>
  <si>
    <t>データ7(μm)</t>
    <phoneticPr fontId="1"/>
  </si>
  <si>
    <t>データ8(μm)</t>
    <phoneticPr fontId="1"/>
  </si>
  <si>
    <t>データ9(μm)</t>
    <phoneticPr fontId="1"/>
  </si>
  <si>
    <t>データ10(μm)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</si>
</sst>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32302C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Sheet1!$A$15</c:f>
              <c:strCache>
                <c:ptCount val="1"/>
                <c:pt idx="0">
                  <c:v>【課題①】最大値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Sheet1!$B$1:$K$1</c:f>
              <c:strCache>
                <c:ptCount val="10"/>
                <c:pt idx="0">
                  <c:v>6月20日 (月)</c:v>
                </c:pt>
                <c:pt idx="1">
                  <c:v>6月21日 (火)</c:v>
                </c:pt>
                <c:pt idx="2">
                  <c:v>6月22日 (水)</c:v>
                </c:pt>
                <c:pt idx="3">
                  <c:v>6月23日 (木)</c:v>
                </c:pt>
                <c:pt idx="4">
                  <c:v>6月24日 (金)</c:v>
                </c:pt>
                <c:pt idx="5">
                  <c:v>6月27日 (月)</c:v>
                </c:pt>
                <c:pt idx="6">
                  <c:v>6月28日 (火)</c:v>
                </c:pt>
                <c:pt idx="7">
                  <c:v>6月29日 (水)</c:v>
                </c:pt>
                <c:pt idx="8">
                  <c:v>6月30日 (木)</c:v>
                </c:pt>
                <c:pt idx="9">
                  <c:v>7月1日 (金)</c:v>
                </c:pt>
              </c:strCache>
            </c:strRef>
          </c:xVal>
          <c:yVal>
            <c:numRef>
              <c:f>Sheet1!$B$15:$K$15</c:f>
              <c:numCache>
                <c:formatCode>General</c:formatCode>
                <c:ptCount val="10"/>
                <c:pt idx="0">
                  <c:v>0.15</c:v>
                </c:pt>
                <c:pt idx="1">
                  <c:v>0.14000000000000001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</c:v>
                </c:pt>
                <c:pt idx="5">
                  <c:v>0.08</c:v>
                </c:pt>
                <c:pt idx="6">
                  <c:v>0.12</c:v>
                </c:pt>
                <c:pt idx="7">
                  <c:v>0.1</c:v>
                </c:pt>
                <c:pt idx="8">
                  <c:v>0.6</c:v>
                </c:pt>
                <c:pt idx="9">
                  <c:v>0.05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E3-48C7-878C-EC8EF25EC5AA}"/>
            </c:ext>
          </c:extLst>
        </c:ser>
        <c:ser>
          <c:idx val="1"/>
          <c:order val="1"/>
          <c:tx>
            <c:strRef>
              <c:f>Sheet1!$A$16</c:f>
              <c:strCache>
                <c:ptCount val="1"/>
                <c:pt idx="0">
                  <c:v>【課題①】最小値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Sheet1!$B$1:$K$1</c:f>
              <c:strCache>
                <c:ptCount val="10"/>
                <c:pt idx="0">
                  <c:v>6月20日 (月)</c:v>
                </c:pt>
                <c:pt idx="1">
                  <c:v>6月21日 (火)</c:v>
                </c:pt>
                <c:pt idx="2">
                  <c:v>6月22日 (水)</c:v>
                </c:pt>
                <c:pt idx="3">
                  <c:v>6月23日 (木)</c:v>
                </c:pt>
                <c:pt idx="4">
                  <c:v>6月24日 (金)</c:v>
                </c:pt>
                <c:pt idx="5">
                  <c:v>6月27日 (月)</c:v>
                </c:pt>
                <c:pt idx="6">
                  <c:v>6月28日 (火)</c:v>
                </c:pt>
                <c:pt idx="7">
                  <c:v>6月29日 (水)</c:v>
                </c:pt>
                <c:pt idx="8">
                  <c:v>6月30日 (木)</c:v>
                </c:pt>
                <c:pt idx="9">
                  <c:v>7月1日 (金)</c:v>
                </c:pt>
              </c:strCache>
            </c:strRef>
          </c:xVal>
          <c:yVal>
            <c:numRef>
              <c:f>Sheet1!$B$16:$K$16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0.01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E3-48C7-878C-EC8EF25EC5AA}"/>
            </c:ext>
          </c:extLst>
        </c:ser>
        <c:ser>
          <c:idx val="2"/>
          <c:order val="2"/>
          <c:tx>
            <c:strRef>
              <c:f>Sheet1!$A$17</c:f>
              <c:strCache>
                <c:ptCount val="1"/>
                <c:pt idx="0">
                  <c:v>【課題①】平均値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Sheet1!$B$1:$K$1</c:f>
              <c:strCache>
                <c:ptCount val="10"/>
                <c:pt idx="0">
                  <c:v>6月20日 (月)</c:v>
                </c:pt>
                <c:pt idx="1">
                  <c:v>6月21日 (火)</c:v>
                </c:pt>
                <c:pt idx="2">
                  <c:v>6月22日 (水)</c:v>
                </c:pt>
                <c:pt idx="3">
                  <c:v>6月23日 (木)</c:v>
                </c:pt>
                <c:pt idx="4">
                  <c:v>6月24日 (金)</c:v>
                </c:pt>
                <c:pt idx="5">
                  <c:v>6月27日 (月)</c:v>
                </c:pt>
                <c:pt idx="6">
                  <c:v>6月28日 (火)</c:v>
                </c:pt>
                <c:pt idx="7">
                  <c:v>6月29日 (水)</c:v>
                </c:pt>
                <c:pt idx="8">
                  <c:v>6月30日 (木)</c:v>
                </c:pt>
                <c:pt idx="9">
                  <c:v>7月1日 (金)</c:v>
                </c:pt>
              </c:strCache>
            </c:strRef>
          </c:xVal>
          <c:yVal>
            <c:numRef>
              <c:f>Sheet1!$B$17:$K$17</c:f>
              <c:numCache>
                <c:formatCode>General</c:formatCode>
                <c:ptCount val="10"/>
                <c:pt idx="0">
                  <c:v>7.6999999999999999E-2</c:v>
                </c:pt>
                <c:pt idx="1">
                  <c:v>7.2000000000000022E-2</c:v>
                </c:pt>
                <c:pt idx="2">
                  <c:v>5.4000000000000006E-2</c:v>
                </c:pt>
                <c:pt idx="3">
                  <c:v>3.4000000000000002E-2</c:v>
                </c:pt>
                <c:pt idx="4">
                  <c:v>3.6999999999999998E-2</c:v>
                </c:pt>
                <c:pt idx="5">
                  <c:v>0.03</c:v>
                </c:pt>
                <c:pt idx="6">
                  <c:v>4.6000000000000006E-2</c:v>
                </c:pt>
                <c:pt idx="7">
                  <c:v>3.7999999999999999E-2</c:v>
                </c:pt>
                <c:pt idx="8">
                  <c:v>0.08</c:v>
                </c:pt>
                <c:pt idx="9">
                  <c:v>1.6999999999999998E-2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E3-48C7-878C-EC8EF25EC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511023"/>
        <c:axId val="1024508623"/>
      </c:scatterChart>
      <c:valAx>
        <c:axId val="102451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4508623"/>
        <c:crosses val="autoZero"/>
        <c:crossBetween val="midCat"/>
      </c:valAx>
      <c:valAx>
        <c:axId val="102450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4511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【課題②】工程能力指数(Cpk)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Sheet1!$B$1:$K$1</c:f>
              <c:strCache>
                <c:ptCount val="10"/>
                <c:pt idx="0">
                  <c:v>6月20日 (月)</c:v>
                </c:pt>
                <c:pt idx="1">
                  <c:v>6月21日 (火)</c:v>
                </c:pt>
                <c:pt idx="2">
                  <c:v>6月22日 (水)</c:v>
                </c:pt>
                <c:pt idx="3">
                  <c:v>6月23日 (木)</c:v>
                </c:pt>
                <c:pt idx="4">
                  <c:v>6月24日 (金)</c:v>
                </c:pt>
                <c:pt idx="5">
                  <c:v>6月27日 (月)</c:v>
                </c:pt>
                <c:pt idx="6">
                  <c:v>6月28日 (火)</c:v>
                </c:pt>
                <c:pt idx="7">
                  <c:v>6月29日 (水)</c:v>
                </c:pt>
                <c:pt idx="8">
                  <c:v>6月30日 (木)</c:v>
                </c:pt>
                <c:pt idx="9">
                  <c:v>7月1日 (金)</c:v>
                </c:pt>
              </c:strCache>
            </c:strRef>
          </c:xVal>
          <c:yVal>
            <c:numRef>
              <c:f>Sheet1!$B$19:$K$19</c:f>
              <c:numCache>
                <c:formatCode>General</c:formatCode>
                <c:ptCount val="10"/>
                <c:pt idx="0">
                  <c:v>0.99084059646617773</c:v>
                </c:pt>
                <c:pt idx="1">
                  <c:v>1.3091247195667639</c:v>
                </c:pt>
                <c:pt idx="2">
                  <c:v>1.71586680573628</c:v>
                </c:pt>
                <c:pt idx="3">
                  <c:v>1.3814160304946075</c:v>
                </c:pt>
                <c:pt idx="4">
                  <c:v>1.4515435193000195</c:v>
                </c:pt>
                <c:pt idx="5">
                  <c:v>1.4770978917519928</c:v>
                </c:pt>
                <c:pt idx="6">
                  <c:v>0.98095748127590787</c:v>
                </c:pt>
                <c:pt idx="7">
                  <c:v>1.3055067315364386</c:v>
                </c:pt>
                <c:pt idx="8">
                  <c:v>0.12720966373234244</c:v>
                </c:pt>
                <c:pt idx="9">
                  <c:v>2.9665632493573781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51-48E1-9BC7-7967EA8ED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782671"/>
        <c:axId val="1023784111"/>
      </c:scatterChart>
      <c:valAx>
        <c:axId val="102378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3784111"/>
        <c:crosses val="autoZero"/>
        <c:crossBetween val="midCat"/>
      </c:valAx>
      <c:valAx>
        <c:axId val="102378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2378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598714</xdr:colOff>
      <xdr:row>19</xdr:row>
      <xdr:rowOff>0</xdr:rowOff>
    </xdr:from>
    <xdr:to>
      <xdr:col>8</xdr:col>
      <xdr:colOff>546100</xdr:colOff>
      <xdr:row>30</xdr:row>
      <xdr:rowOff>69850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47F1BEF-DB1C-9251-6472-53D944F77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608239</xdr:colOff>
      <xdr:row>19</xdr:row>
      <xdr:rowOff>0</xdr:rowOff>
    </xdr:from>
    <xdr:to>
      <xdr:col>15</xdr:col>
      <xdr:colOff>555625</xdr:colOff>
      <xdr:row>30</xdr:row>
      <xdr:rowOff>57150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9C6EBCB-43EC-EB47-8655-6F2CE7FCD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74E5-839E-4BA8-9F68-7A27432ABACC}">
  <dimension ref="A1:K48"/>
  <sheetViews>
    <sheetView tabSelected="1" topLeftCell="A2" zoomScale="70" zoomScaleNormal="70" workbookViewId="0">
      <selection activeCell="O8" sqref="O8"/>
    </sheetView>
  </sheetViews>
  <sheetFormatPr defaultRowHeight="18" x14ac:dyDescent="0.55000000000000004"/>
  <cols>
    <col min="1" max="16384" width="8.6640625" style="1"/>
  </cols>
  <sheetData>
    <row r="1" spans="1:11" x14ac:dyDescent="0.55000000000000004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55000000000000004">
      <c r="A2" s="1" t="s">
        <v>10</v>
      </c>
      <c r="B2" s="1">
        <v>0.2</v>
      </c>
      <c r="C2" s="1">
        <v>0.2</v>
      </c>
      <c r="D2" s="1">
        <v>0.2</v>
      </c>
      <c r="E2" s="1">
        <v>0.2</v>
      </c>
      <c r="F2" s="1">
        <v>0.2</v>
      </c>
      <c r="G2" s="1">
        <v>0.15</v>
      </c>
      <c r="H2" s="1">
        <v>0.15</v>
      </c>
      <c r="I2" s="1">
        <v>0.15</v>
      </c>
      <c r="J2" s="1">
        <v>0.15</v>
      </c>
      <c r="K2" s="1">
        <v>0.15</v>
      </c>
    </row>
    <row r="3" spans="1:11" customFormat="1" x14ac:dyDescent="0.55000000000000004">
      <c r="A3" t="s">
        <v>33</v>
      </c>
      <c r="B3" t="s">
        <v>34</v>
      </c>
      <c r="C3" t="s">
        <v>34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</row>
    <row r="4" spans="1:11" x14ac:dyDescent="0.55000000000000004">
      <c r="A4" s="1" t="s">
        <v>11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13</v>
      </c>
      <c r="K4" s="1" t="s">
        <v>13</v>
      </c>
    </row>
    <row r="5" spans="1:11" x14ac:dyDescent="0.55000000000000004">
      <c r="A5" s="1" t="s">
        <v>35</v>
      </c>
      <c r="B5" s="1">
        <v>0.08</v>
      </c>
      <c r="C5" s="1">
        <v>0.05</v>
      </c>
      <c r="D5" s="1">
        <v>0.06</v>
      </c>
      <c r="E5" s="1">
        <v>0.02</v>
      </c>
      <c r="F5" s="1">
        <v>0.05</v>
      </c>
      <c r="G5" s="1">
        <v>0.08</v>
      </c>
      <c r="H5" s="1">
        <v>0.12</v>
      </c>
      <c r="I5" s="1">
        <v>0.02</v>
      </c>
      <c r="J5" s="1">
        <v>0.02</v>
      </c>
      <c r="K5" s="1">
        <v>0.01</v>
      </c>
    </row>
    <row r="6" spans="1:11" x14ac:dyDescent="0.55000000000000004">
      <c r="A6" s="1" t="s">
        <v>36</v>
      </c>
      <c r="B6" s="1">
        <v>0.05</v>
      </c>
      <c r="C6" s="1">
        <v>7.0000000000000007E-2</v>
      </c>
      <c r="D6" s="1">
        <v>0.1</v>
      </c>
      <c r="E6" s="1">
        <v>0.14000000000000001</v>
      </c>
      <c r="F6" s="1">
        <v>0.01</v>
      </c>
      <c r="G6" s="1">
        <v>0.01</v>
      </c>
      <c r="H6" s="1">
        <v>7.0000000000000007E-2</v>
      </c>
      <c r="I6" s="1">
        <v>0.04</v>
      </c>
      <c r="J6" s="1">
        <v>0.03</v>
      </c>
      <c r="K6" s="1">
        <v>0.05</v>
      </c>
    </row>
    <row r="7" spans="1:11" x14ac:dyDescent="0.55000000000000004">
      <c r="A7" s="1" t="s">
        <v>37</v>
      </c>
      <c r="B7" s="1">
        <v>0.12</v>
      </c>
      <c r="C7" s="1">
        <v>0.11</v>
      </c>
      <c r="D7" s="1">
        <v>0.09</v>
      </c>
      <c r="E7" s="1">
        <v>0.01</v>
      </c>
      <c r="F7" s="1">
        <v>0</v>
      </c>
      <c r="G7" s="1">
        <v>0.04</v>
      </c>
      <c r="H7" s="1">
        <v>7.0000000000000007E-2</v>
      </c>
      <c r="I7" s="1">
        <v>0.02</v>
      </c>
      <c r="J7" s="1">
        <v>0.04</v>
      </c>
      <c r="K7" s="1">
        <v>0.01</v>
      </c>
    </row>
    <row r="8" spans="1:11" x14ac:dyDescent="0.55000000000000004">
      <c r="A8" s="1" t="s">
        <v>38</v>
      </c>
      <c r="B8" s="1">
        <v>7.0000000000000007E-2</v>
      </c>
      <c r="C8" s="1">
        <v>0.06</v>
      </c>
      <c r="D8" s="1">
        <v>0.05</v>
      </c>
      <c r="E8" s="1">
        <v>0.02</v>
      </c>
      <c r="F8" s="1">
        <v>7.0000000000000007E-2</v>
      </c>
      <c r="G8" s="1">
        <v>0.02</v>
      </c>
      <c r="H8" s="1">
        <v>0.03</v>
      </c>
      <c r="I8" s="1">
        <v>0.05</v>
      </c>
      <c r="J8" s="1">
        <v>0</v>
      </c>
      <c r="K8" s="1">
        <v>0.02</v>
      </c>
    </row>
    <row r="9" spans="1:11" x14ac:dyDescent="0.55000000000000004">
      <c r="A9" s="1" t="s">
        <v>39</v>
      </c>
      <c r="B9" s="1">
        <v>0.15</v>
      </c>
      <c r="C9" s="1">
        <v>0.08</v>
      </c>
      <c r="D9" s="1">
        <v>0.02</v>
      </c>
      <c r="E9" s="1">
        <v>0.04</v>
      </c>
      <c r="F9" s="1">
        <v>0.01</v>
      </c>
      <c r="G9" s="1">
        <v>0</v>
      </c>
      <c r="H9" s="1">
        <v>0.05</v>
      </c>
      <c r="I9" s="1">
        <v>0.01</v>
      </c>
      <c r="J9" s="1">
        <v>0.6</v>
      </c>
      <c r="K9" s="1">
        <v>0</v>
      </c>
    </row>
    <row r="10" spans="1:11" x14ac:dyDescent="0.55000000000000004">
      <c r="A10" s="1" t="s">
        <v>40</v>
      </c>
      <c r="B10" s="1">
        <v>0.03</v>
      </c>
      <c r="C10" s="1">
        <v>0.03</v>
      </c>
      <c r="D10" s="1">
        <v>0.02</v>
      </c>
      <c r="E10" s="1">
        <v>0</v>
      </c>
      <c r="F10" s="1">
        <v>0.1</v>
      </c>
      <c r="G10" s="1">
        <v>0.06</v>
      </c>
      <c r="H10" s="1">
        <v>0.01</v>
      </c>
      <c r="I10" s="1">
        <v>0.03</v>
      </c>
      <c r="J10" s="1">
        <v>0.03</v>
      </c>
      <c r="K10" s="1">
        <v>0.03</v>
      </c>
    </row>
    <row r="11" spans="1:11" x14ac:dyDescent="0.55000000000000004">
      <c r="A11" s="1" t="s">
        <v>41</v>
      </c>
      <c r="B11" s="1">
        <v>0.11</v>
      </c>
      <c r="C11" s="1">
        <v>7.0000000000000007E-2</v>
      </c>
      <c r="D11" s="1">
        <v>0.06</v>
      </c>
      <c r="E11" s="1">
        <v>0.01</v>
      </c>
      <c r="F11" s="1">
        <v>0.02</v>
      </c>
      <c r="G11" s="1">
        <v>0</v>
      </c>
      <c r="H11" s="1">
        <v>0.06</v>
      </c>
      <c r="I11" s="1">
        <v>7.0000000000000007E-2</v>
      </c>
      <c r="J11" s="1">
        <v>0.01</v>
      </c>
      <c r="K11" s="1">
        <v>0.01</v>
      </c>
    </row>
    <row r="12" spans="1:11" x14ac:dyDescent="0.55000000000000004">
      <c r="A12" s="1" t="s">
        <v>42</v>
      </c>
      <c r="B12" s="1">
        <v>0.02</v>
      </c>
      <c r="C12" s="1">
        <v>0.14000000000000001</v>
      </c>
      <c r="D12" s="1">
        <v>0.05</v>
      </c>
      <c r="E12" s="1">
        <v>0.02</v>
      </c>
      <c r="F12" s="1">
        <v>0.01</v>
      </c>
      <c r="G12" s="1">
        <v>0.01</v>
      </c>
      <c r="H12" s="1">
        <v>0.03</v>
      </c>
      <c r="I12" s="1">
        <v>0.1</v>
      </c>
      <c r="J12" s="1">
        <v>0.02</v>
      </c>
      <c r="K12" s="1">
        <v>0.02</v>
      </c>
    </row>
    <row r="13" spans="1:11" x14ac:dyDescent="0.55000000000000004">
      <c r="A13" s="1" t="s">
        <v>43</v>
      </c>
      <c r="B13" s="1">
        <v>0.09</v>
      </c>
      <c r="C13" s="1">
        <v>0.04</v>
      </c>
      <c r="D13" s="1">
        <v>0.02</v>
      </c>
      <c r="E13" s="1">
        <v>0.03</v>
      </c>
      <c r="F13" s="1">
        <v>0.09</v>
      </c>
      <c r="G13" s="1">
        <v>0.03</v>
      </c>
      <c r="H13" s="1">
        <v>0.01</v>
      </c>
      <c r="I13" s="1">
        <v>0.01</v>
      </c>
      <c r="J13" s="1">
        <v>0.05</v>
      </c>
      <c r="K13" s="1">
        <v>0</v>
      </c>
    </row>
    <row r="14" spans="1:11" x14ac:dyDescent="0.55000000000000004">
      <c r="A14" s="1" t="s">
        <v>44</v>
      </c>
      <c r="B14" s="1">
        <v>0.05</v>
      </c>
      <c r="C14" s="1">
        <v>7.0000000000000007E-2</v>
      </c>
      <c r="D14" s="1">
        <v>7.0000000000000007E-2</v>
      </c>
      <c r="E14" s="1">
        <v>0.05</v>
      </c>
      <c r="F14" s="1">
        <v>0.01</v>
      </c>
      <c r="G14" s="1">
        <v>0.05</v>
      </c>
      <c r="H14" s="1">
        <v>0.01</v>
      </c>
      <c r="I14" s="1">
        <v>0.03</v>
      </c>
      <c r="J14" s="1">
        <v>0</v>
      </c>
      <c r="K14" s="1">
        <v>0.02</v>
      </c>
    </row>
    <row r="15" spans="1:11" x14ac:dyDescent="0.55000000000000004">
      <c r="A15" s="1" t="s">
        <v>14</v>
      </c>
      <c r="B15" s="2">
        <f>MAX(B5:B14)</f>
        <v>0.15</v>
      </c>
      <c r="C15" s="2">
        <f t="shared" ref="C15:K15" si="0">MAX(C5:C14)</f>
        <v>0.14000000000000001</v>
      </c>
      <c r="D15" s="2">
        <f t="shared" si="0"/>
        <v>0.1</v>
      </c>
      <c r="E15" s="2">
        <f t="shared" si="0"/>
        <v>0.14000000000000001</v>
      </c>
      <c r="F15" s="2">
        <f t="shared" si="0"/>
        <v>0.1</v>
      </c>
      <c r="G15" s="2">
        <f t="shared" si="0"/>
        <v>0.08</v>
      </c>
      <c r="H15" s="2">
        <f t="shared" si="0"/>
        <v>0.12</v>
      </c>
      <c r="I15" s="2">
        <f t="shared" si="0"/>
        <v>0.1</v>
      </c>
      <c r="J15" s="2">
        <f t="shared" si="0"/>
        <v>0.6</v>
      </c>
      <c r="K15" s="2">
        <f t="shared" si="0"/>
        <v>0.05</v>
      </c>
    </row>
    <row r="16" spans="1:11" x14ac:dyDescent="0.55000000000000004">
      <c r="A16" s="1" t="s">
        <v>15</v>
      </c>
      <c r="B16" s="1">
        <f>MIN(B5:B14)</f>
        <v>0.02</v>
      </c>
      <c r="C16" s="1">
        <f t="shared" ref="C16:K16" si="1">MIN(C5:C14)</f>
        <v>0.03</v>
      </c>
      <c r="D16" s="1">
        <f t="shared" si="1"/>
        <v>0.02</v>
      </c>
      <c r="E16" s="1">
        <f t="shared" si="1"/>
        <v>0</v>
      </c>
      <c r="F16" s="1">
        <f t="shared" si="1"/>
        <v>0</v>
      </c>
      <c r="G16" s="1">
        <f t="shared" si="1"/>
        <v>0</v>
      </c>
      <c r="H16" s="1">
        <f t="shared" si="1"/>
        <v>0.01</v>
      </c>
      <c r="I16" s="1">
        <f t="shared" si="1"/>
        <v>0.01</v>
      </c>
      <c r="J16" s="1">
        <f t="shared" si="1"/>
        <v>0</v>
      </c>
      <c r="K16" s="1">
        <f t="shared" si="1"/>
        <v>0</v>
      </c>
    </row>
    <row r="17" spans="1:11" x14ac:dyDescent="0.55000000000000004">
      <c r="A17" s="1" t="s">
        <v>16</v>
      </c>
      <c r="B17" s="1">
        <f>AVERAGE(B5:B14)</f>
        <v>7.6999999999999999E-2</v>
      </c>
      <c r="C17" s="1">
        <f t="shared" ref="C17:K17" si="2">AVERAGE(C5:C14)</f>
        <v>7.2000000000000022E-2</v>
      </c>
      <c r="D17" s="1">
        <f t="shared" si="2"/>
        <v>5.4000000000000006E-2</v>
      </c>
      <c r="E17" s="1">
        <f t="shared" si="2"/>
        <v>3.4000000000000002E-2</v>
      </c>
      <c r="F17" s="1">
        <f t="shared" si="2"/>
        <v>3.6999999999999998E-2</v>
      </c>
      <c r="G17" s="1">
        <f t="shared" si="2"/>
        <v>0.03</v>
      </c>
      <c r="H17" s="1">
        <f t="shared" si="2"/>
        <v>4.6000000000000006E-2</v>
      </c>
      <c r="I17" s="1">
        <f t="shared" si="2"/>
        <v>3.7999999999999999E-2</v>
      </c>
      <c r="J17" s="1">
        <f t="shared" si="2"/>
        <v>0.08</v>
      </c>
      <c r="K17" s="1">
        <f t="shared" si="2"/>
        <v>1.6999999999999998E-2</v>
      </c>
    </row>
    <row r="18" spans="1:11" x14ac:dyDescent="0.55000000000000004">
      <c r="A18" s="1" t="s">
        <v>17</v>
      </c>
      <c r="B18" s="1">
        <f>STDEVA(B5:B14)</f>
        <v>4.1379007023153939E-2</v>
      </c>
      <c r="C18" s="1">
        <f t="shared" ref="C18:K18" si="3">STDEVA(C5:C14)</f>
        <v>3.2591750830880797E-2</v>
      </c>
      <c r="D18" s="1">
        <f t="shared" si="3"/>
        <v>2.8362729848243531E-2</v>
      </c>
      <c r="E18" s="1">
        <f t="shared" si="3"/>
        <v>4.0055517028799482E-2</v>
      </c>
      <c r="F18" s="1">
        <f t="shared" si="3"/>
        <v>3.743141876967946E-2</v>
      </c>
      <c r="G18" s="1">
        <f t="shared" si="3"/>
        <v>2.70801280154532E-2</v>
      </c>
      <c r="H18" s="1">
        <f t="shared" si="3"/>
        <v>3.5339622081862872E-2</v>
      </c>
      <c r="I18" s="1">
        <f t="shared" si="3"/>
        <v>2.859681411936963E-2</v>
      </c>
      <c r="J18" s="1">
        <f t="shared" si="3"/>
        <v>0.18342421989596808</v>
      </c>
      <c r="K18" s="1">
        <f t="shared" si="3"/>
        <v>1.4944341180973267E-2</v>
      </c>
    </row>
    <row r="19" spans="1:11" x14ac:dyDescent="0.55000000000000004">
      <c r="A19" s="1" t="s">
        <v>18</v>
      </c>
      <c r="B19" s="1">
        <f>(B2-B17)/(3*B18)</f>
        <v>0.99084059646617773</v>
      </c>
      <c r="C19" s="1">
        <f t="shared" ref="C19:K19" si="4">(C2-C17)/(3*C18)</f>
        <v>1.3091247195667639</v>
      </c>
      <c r="D19" s="1">
        <f t="shared" si="4"/>
        <v>1.71586680573628</v>
      </c>
      <c r="E19" s="1">
        <f t="shared" si="4"/>
        <v>1.3814160304946075</v>
      </c>
      <c r="F19" s="1">
        <f t="shared" si="4"/>
        <v>1.4515435193000195</v>
      </c>
      <c r="G19" s="1">
        <f t="shared" si="4"/>
        <v>1.4770978917519928</v>
      </c>
      <c r="H19" s="1">
        <f t="shared" si="4"/>
        <v>0.98095748127590787</v>
      </c>
      <c r="I19" s="1">
        <f t="shared" si="4"/>
        <v>1.3055067315364386</v>
      </c>
      <c r="J19" s="1">
        <f t="shared" si="4"/>
        <v>0.12720966373234244</v>
      </c>
      <c r="K19" s="1">
        <f t="shared" si="4"/>
        <v>2.9665632493573781</v>
      </c>
    </row>
    <row r="33" spans="1:1" x14ac:dyDescent="0.55000000000000004">
      <c r="A33" s="1" t="s">
        <v>19</v>
      </c>
    </row>
    <row r="35" spans="1:1" x14ac:dyDescent="0.55000000000000004">
      <c r="A35" s="1" t="s">
        <v>20</v>
      </c>
    </row>
    <row r="36" spans="1:1" x14ac:dyDescent="0.55000000000000004">
      <c r="A36" s="1" t="s">
        <v>21</v>
      </c>
    </row>
    <row r="37" spans="1:1" x14ac:dyDescent="0.55000000000000004">
      <c r="A37" s="1" t="s">
        <v>22</v>
      </c>
    </row>
    <row r="38" spans="1:1" x14ac:dyDescent="0.55000000000000004">
      <c r="A38" s="1" t="s">
        <v>23</v>
      </c>
    </row>
    <row r="40" spans="1:1" x14ac:dyDescent="0.55000000000000004">
      <c r="A40" s="1" t="s">
        <v>24</v>
      </c>
    </row>
    <row r="41" spans="1:1" x14ac:dyDescent="0.55000000000000004">
      <c r="A41" s="1" t="s">
        <v>25</v>
      </c>
    </row>
    <row r="42" spans="1:1" x14ac:dyDescent="0.55000000000000004">
      <c r="A42" s="1" t="s">
        <v>26</v>
      </c>
    </row>
    <row r="43" spans="1:1" x14ac:dyDescent="0.55000000000000004">
      <c r="A43" s="1" t="s">
        <v>27</v>
      </c>
    </row>
    <row r="44" spans="1:1" x14ac:dyDescent="0.55000000000000004">
      <c r="A44" s="1" t="s">
        <v>28</v>
      </c>
    </row>
    <row r="46" spans="1:1" x14ac:dyDescent="0.55000000000000004">
      <c r="A46" s="1" t="s">
        <v>29</v>
      </c>
    </row>
    <row r="47" spans="1:1" x14ac:dyDescent="0.55000000000000004">
      <c r="A47" s="1" t="s">
        <v>30</v>
      </c>
    </row>
    <row r="48" spans="1:1" x14ac:dyDescent="0.55000000000000004">
      <c r="A48" s="1" t="s">
        <v>31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栁原 魁人_長野</dc:creator>
  <cp:lastModifiedBy>栁原 魁人_長野</cp:lastModifiedBy>
  <dcterms:created xsi:type="dcterms:W3CDTF">2025-12-18T00:18:20Z</dcterms:created>
  <dcterms:modified xsi:type="dcterms:W3CDTF">2025-12-18T00:42:13Z</dcterms:modified>
</cp:coreProperties>
</file>