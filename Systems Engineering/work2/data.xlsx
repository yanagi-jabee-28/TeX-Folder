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to\TeX-Folder\Systems Engineering\work2\"/>
    </mc:Choice>
  </mc:AlternateContent>
  <xr:revisionPtr revIDLastSave="0" documentId="13_ncr:9_{0BA5BF75-BDE9-40F9-8C92-C1AE09B1C074}" xr6:coauthVersionLast="47" xr6:coauthVersionMax="47" xr10:uidLastSave="{00000000-0000-0000-0000-000000000000}"/>
  <bookViews>
    <workbookView xWindow="-110" yWindow="-110" windowWidth="29020" windowHeight="17500" xr2:uid="{EEA42B0E-9D4C-4E50-8DAB-7DA22B7A757E}"/>
  </bookViews>
  <sheets>
    <sheet name="data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9" i="1" s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D2" i="1"/>
  <c r="D19" i="1" s="1"/>
  <c r="E2" i="1"/>
  <c r="E19" i="1" s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B18" i="1"/>
  <c r="C18" i="1"/>
  <c r="B19" i="1"/>
  <c r="C19" i="1"/>
  <c r="C21" i="1"/>
  <c r="H19" i="1" l="1"/>
  <c r="C20" i="1"/>
  <c r="F19" i="1"/>
</calcChain>
</file>

<file path=xl/sharedStrings.xml><?xml version="1.0" encoding="utf-8"?>
<sst xmlns="http://schemas.openxmlformats.org/spreadsheetml/2006/main" count="14" uniqueCount="13">
  <si>
    <t>基板サンプルNo.</t>
  </si>
  <si>
    <t>パターンめっき厚_um</t>
  </si>
  <si>
    <t>パターン幅_um</t>
  </si>
  <si>
    <t>めっき厚-平均</t>
  </si>
  <si>
    <t>幅-平均</t>
  </si>
  <si>
    <t>偏差積</t>
  </si>
  <si>
    <t>偏差^2_厚</t>
  </si>
  <si>
    <t>偏差^2_幅</t>
  </si>
  <si>
    <t>平均</t>
  </si>
  <si>
    <t>合計</t>
  </si>
  <si>
    <t>計算</t>
  </si>
  <si>
    <t>相関係数_r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</si>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</sst>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9D027-B3D4-491F-809B-263822E27CF8}">
  <dimension ref="A1:H21"/>
  <sheetViews>
    <sheetView tabSelected="1" zoomScale="160" zoomScaleNormal="160" workbookViewId="0">
      <selection activeCell="F16" sqref="F16"/>
    </sheetView>
  </sheetViews>
  <sheetFormatPr defaultRowHeight="18" x14ac:dyDescent="0.55000000000000004"/>
  <cols>
    <col min="1" max="1" width="15.08203125" bestFit="1" customWidth="1"/>
    <col min="2" max="2" width="20.08203125" bestFit="1" customWidth="1"/>
    <col min="3" max="3" width="14.25" bestFit="1" customWidth="1"/>
    <col min="4" max="4" width="13.25" bestFit="1" customWidth="1"/>
    <col min="5" max="5" width="9" bestFit="1" customWidth="1"/>
    <col min="6" max="6" width="13.25" bestFit="1" customWidth="1"/>
    <col min="7" max="8" width="12.33203125" bestFit="1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1</v>
      </c>
      <c r="B2">
        <v>48</v>
      </c>
      <c r="C2">
        <v>75.5</v>
      </c>
      <c r="D2">
        <f t="shared" ref="D2:D17" si="0">B2-AVERAGE($B$2:$B$17)</f>
        <v>-3.125E-2</v>
      </c>
      <c r="E2">
        <f t="shared" ref="E2:E17" si="1">C2-AVERAGE($C$2:$C$17)</f>
        <v>-4.34375</v>
      </c>
      <c r="F2">
        <f>D2*E2</f>
        <v>0.1357421875</v>
      </c>
      <c r="G2">
        <f>D2^2</f>
        <v>9.765625E-4</v>
      </c>
      <c r="H2">
        <f>E2^2</f>
        <v>18.8681640625</v>
      </c>
    </row>
    <row r="3" spans="1:8" x14ac:dyDescent="0.55000000000000004">
      <c r="A3">
        <v>2</v>
      </c>
      <c r="B3">
        <v>51.5</v>
      </c>
      <c r="C3">
        <v>82.5</v>
      </c>
      <c r="D3">
        <f t="shared" si="0"/>
        <v>3.46875</v>
      </c>
      <c r="E3">
        <f t="shared" si="1"/>
        <v>2.65625</v>
      </c>
      <c r="F3">
        <f t="shared" ref="F3:F17" si="2">D3*E3</f>
        <v>9.2138671875</v>
      </c>
      <c r="G3">
        <f t="shared" ref="G3:G17" si="3">D3^2</f>
        <v>12.0322265625</v>
      </c>
      <c r="H3">
        <f t="shared" ref="H3:H17" si="4">E3^2</f>
        <v>7.0556640625</v>
      </c>
    </row>
    <row r="4" spans="1:8" x14ac:dyDescent="0.55000000000000004">
      <c r="A4">
        <v>3</v>
      </c>
      <c r="B4">
        <v>44</v>
      </c>
      <c r="C4">
        <v>75.5</v>
      </c>
      <c r="D4">
        <f t="shared" si="0"/>
        <v>-4.03125</v>
      </c>
      <c r="E4">
        <f t="shared" si="1"/>
        <v>-4.34375</v>
      </c>
      <c r="F4">
        <f t="shared" si="2"/>
        <v>17.5107421875</v>
      </c>
      <c r="G4">
        <f t="shared" si="3"/>
        <v>16.2509765625</v>
      </c>
      <c r="H4">
        <f t="shared" si="4"/>
        <v>18.8681640625</v>
      </c>
    </row>
    <row r="5" spans="1:8" x14ac:dyDescent="0.55000000000000004">
      <c r="A5">
        <v>4</v>
      </c>
      <c r="B5">
        <v>53</v>
      </c>
      <c r="C5">
        <v>86.5</v>
      </c>
      <c r="D5">
        <f t="shared" si="0"/>
        <v>4.96875</v>
      </c>
      <c r="E5">
        <f t="shared" si="1"/>
        <v>6.65625</v>
      </c>
      <c r="F5">
        <f t="shared" si="2"/>
        <v>33.0732421875</v>
      </c>
      <c r="G5">
        <f t="shared" si="3"/>
        <v>24.6884765625</v>
      </c>
      <c r="H5">
        <f t="shared" si="4"/>
        <v>44.3056640625</v>
      </c>
    </row>
    <row r="6" spans="1:8" x14ac:dyDescent="0.55000000000000004">
      <c r="A6">
        <v>5</v>
      </c>
      <c r="B6">
        <v>49.5</v>
      </c>
      <c r="C6">
        <v>77</v>
      </c>
      <c r="D6">
        <f t="shared" si="0"/>
        <v>1.46875</v>
      </c>
      <c r="E6">
        <f t="shared" si="1"/>
        <v>-2.84375</v>
      </c>
      <c r="F6">
        <f t="shared" si="2"/>
        <v>-4.1767578125</v>
      </c>
      <c r="G6">
        <f t="shared" si="3"/>
        <v>2.1572265625</v>
      </c>
      <c r="H6">
        <f t="shared" si="4"/>
        <v>8.0869140625</v>
      </c>
    </row>
    <row r="7" spans="1:8" x14ac:dyDescent="0.55000000000000004">
      <c r="A7">
        <v>6</v>
      </c>
      <c r="B7">
        <v>49.5</v>
      </c>
      <c r="C7">
        <v>86.5</v>
      </c>
      <c r="D7">
        <f t="shared" si="0"/>
        <v>1.46875</v>
      </c>
      <c r="E7">
        <f t="shared" si="1"/>
        <v>6.65625</v>
      </c>
      <c r="F7">
        <f t="shared" si="2"/>
        <v>9.7763671875</v>
      </c>
      <c r="G7">
        <f t="shared" si="3"/>
        <v>2.1572265625</v>
      </c>
      <c r="H7">
        <f t="shared" si="4"/>
        <v>44.3056640625</v>
      </c>
    </row>
    <row r="8" spans="1:8" x14ac:dyDescent="0.55000000000000004">
      <c r="A8">
        <v>7</v>
      </c>
      <c r="B8">
        <v>38.5</v>
      </c>
      <c r="C8">
        <v>70.5</v>
      </c>
      <c r="D8">
        <f t="shared" si="0"/>
        <v>-9.53125</v>
      </c>
      <c r="E8">
        <f t="shared" si="1"/>
        <v>-9.34375</v>
      </c>
      <c r="F8">
        <f t="shared" si="2"/>
        <v>89.0576171875</v>
      </c>
      <c r="G8">
        <f t="shared" si="3"/>
        <v>90.8447265625</v>
      </c>
      <c r="H8">
        <f t="shared" si="4"/>
        <v>87.3056640625</v>
      </c>
    </row>
    <row r="9" spans="1:8" x14ac:dyDescent="0.55000000000000004">
      <c r="A9">
        <v>8</v>
      </c>
      <c r="B9">
        <v>53.5</v>
      </c>
      <c r="C9">
        <v>79</v>
      </c>
      <c r="D9">
        <f t="shared" si="0"/>
        <v>5.46875</v>
      </c>
      <c r="E9">
        <f t="shared" si="1"/>
        <v>-0.84375</v>
      </c>
      <c r="F9">
        <f t="shared" si="2"/>
        <v>-4.6142578125</v>
      </c>
      <c r="G9">
        <f t="shared" si="3"/>
        <v>29.9072265625</v>
      </c>
      <c r="H9">
        <f t="shared" si="4"/>
        <v>0.7119140625</v>
      </c>
    </row>
    <row r="10" spans="1:8" x14ac:dyDescent="0.55000000000000004">
      <c r="A10">
        <v>9</v>
      </c>
      <c r="B10">
        <v>46.5</v>
      </c>
      <c r="C10">
        <v>81</v>
      </c>
      <c r="D10">
        <f t="shared" si="0"/>
        <v>-1.53125</v>
      </c>
      <c r="E10">
        <f t="shared" si="1"/>
        <v>1.15625</v>
      </c>
      <c r="F10">
        <f t="shared" si="2"/>
        <v>-1.7705078125</v>
      </c>
      <c r="G10">
        <f t="shared" si="3"/>
        <v>2.3447265625</v>
      </c>
      <c r="H10">
        <f t="shared" si="4"/>
        <v>1.3369140625</v>
      </c>
    </row>
    <row r="11" spans="1:8" x14ac:dyDescent="0.55000000000000004">
      <c r="A11">
        <v>10</v>
      </c>
      <c r="B11">
        <v>45</v>
      </c>
      <c r="C11">
        <v>81.5</v>
      </c>
      <c r="D11">
        <f t="shared" si="0"/>
        <v>-3.03125</v>
      </c>
      <c r="E11">
        <f t="shared" si="1"/>
        <v>1.65625</v>
      </c>
      <c r="F11">
        <f t="shared" si="2"/>
        <v>-5.0205078125</v>
      </c>
      <c r="G11">
        <f t="shared" si="3"/>
        <v>9.1884765625</v>
      </c>
      <c r="H11">
        <f t="shared" si="4"/>
        <v>2.7431640625</v>
      </c>
    </row>
    <row r="12" spans="1:8" x14ac:dyDescent="0.55000000000000004">
      <c r="A12">
        <v>11</v>
      </c>
      <c r="B12">
        <v>48.5</v>
      </c>
      <c r="C12">
        <v>83.5</v>
      </c>
      <c r="D12">
        <f t="shared" si="0"/>
        <v>0.46875</v>
      </c>
      <c r="E12">
        <f t="shared" si="1"/>
        <v>3.65625</v>
      </c>
      <c r="F12">
        <f t="shared" si="2"/>
        <v>1.7138671875</v>
      </c>
      <c r="G12">
        <f t="shared" si="3"/>
        <v>0.2197265625</v>
      </c>
      <c r="H12">
        <f t="shared" si="4"/>
        <v>13.3681640625</v>
      </c>
    </row>
    <row r="13" spans="1:8" x14ac:dyDescent="0.55000000000000004">
      <c r="A13">
        <v>12</v>
      </c>
      <c r="B13">
        <v>52</v>
      </c>
      <c r="C13">
        <v>79.5</v>
      </c>
      <c r="D13">
        <f t="shared" si="0"/>
        <v>3.96875</v>
      </c>
      <c r="E13">
        <f t="shared" si="1"/>
        <v>-0.34375</v>
      </c>
      <c r="F13">
        <f t="shared" si="2"/>
        <v>-1.3642578125</v>
      </c>
      <c r="G13">
        <f t="shared" si="3"/>
        <v>15.7509765625</v>
      </c>
      <c r="H13">
        <f t="shared" si="4"/>
        <v>0.1181640625</v>
      </c>
    </row>
    <row r="14" spans="1:8" x14ac:dyDescent="0.55000000000000004">
      <c r="A14">
        <v>13</v>
      </c>
      <c r="B14">
        <v>51</v>
      </c>
      <c r="C14">
        <v>85.5</v>
      </c>
      <c r="D14">
        <f t="shared" si="0"/>
        <v>2.96875</v>
      </c>
      <c r="E14">
        <f t="shared" si="1"/>
        <v>5.65625</v>
      </c>
      <c r="F14">
        <f t="shared" si="2"/>
        <v>16.7919921875</v>
      </c>
      <c r="G14">
        <f t="shared" si="3"/>
        <v>8.8134765625</v>
      </c>
      <c r="H14">
        <f t="shared" si="4"/>
        <v>31.9931640625</v>
      </c>
    </row>
    <row r="15" spans="1:8" x14ac:dyDescent="0.55000000000000004">
      <c r="A15">
        <v>14</v>
      </c>
      <c r="B15">
        <v>47</v>
      </c>
      <c r="C15">
        <v>77</v>
      </c>
      <c r="D15">
        <f t="shared" si="0"/>
        <v>-1.03125</v>
      </c>
      <c r="E15">
        <f t="shared" si="1"/>
        <v>-2.84375</v>
      </c>
      <c r="F15">
        <f t="shared" si="2"/>
        <v>2.9326171875</v>
      </c>
      <c r="G15">
        <f t="shared" si="3"/>
        <v>1.0634765625</v>
      </c>
      <c r="H15">
        <f t="shared" si="4"/>
        <v>8.0869140625</v>
      </c>
    </row>
    <row r="16" spans="1:8" x14ac:dyDescent="0.55000000000000004">
      <c r="A16">
        <v>15</v>
      </c>
      <c r="B16">
        <v>41.5</v>
      </c>
      <c r="C16">
        <v>76</v>
      </c>
      <c r="D16">
        <f t="shared" si="0"/>
        <v>-6.53125</v>
      </c>
      <c r="E16">
        <f t="shared" si="1"/>
        <v>-3.84375</v>
      </c>
      <c r="F16">
        <f t="shared" si="2"/>
        <v>25.1044921875</v>
      </c>
      <c r="G16">
        <f t="shared" si="3"/>
        <v>42.6572265625</v>
      </c>
      <c r="H16">
        <f t="shared" si="4"/>
        <v>14.7744140625</v>
      </c>
    </row>
    <row r="17" spans="1:8" x14ac:dyDescent="0.55000000000000004">
      <c r="A17">
        <v>16</v>
      </c>
      <c r="B17">
        <v>49.5</v>
      </c>
      <c r="C17">
        <v>80.5</v>
      </c>
      <c r="D17">
        <f t="shared" si="0"/>
        <v>1.46875</v>
      </c>
      <c r="E17">
        <f t="shared" si="1"/>
        <v>0.65625</v>
      </c>
      <c r="F17">
        <f t="shared" si="2"/>
        <v>0.9638671875</v>
      </c>
      <c r="G17">
        <f t="shared" si="3"/>
        <v>2.1572265625</v>
      </c>
      <c r="H17">
        <f t="shared" si="4"/>
        <v>0.4306640625</v>
      </c>
    </row>
    <row r="18" spans="1:8" x14ac:dyDescent="0.55000000000000004">
      <c r="A18" t="s">
        <v>8</v>
      </c>
      <c r="B18">
        <f>AVERAGE($B$2:$B$17)</f>
        <v>48.03125</v>
      </c>
      <c r="C18">
        <f>AVERAGE($C$2:$C$17)</f>
        <v>79.84375</v>
      </c>
    </row>
    <row r="19" spans="1:8" x14ac:dyDescent="0.55000000000000004">
      <c r="A19" t="s">
        <v>9</v>
      </c>
      <c r="B19">
        <f>SUM($B$2:$B$17)</f>
        <v>768.5</v>
      </c>
      <c r="C19">
        <f>SUM($C$2:$C$17)</f>
        <v>1277.5</v>
      </c>
      <c r="D19">
        <f>SUM($D$2:$D$17)</f>
        <v>0</v>
      </c>
      <c r="E19">
        <f>SUM($E$2:$E$17)</f>
        <v>0</v>
      </c>
      <c r="F19">
        <f>SUM($F$2:$F$17)</f>
        <v>189.328125</v>
      </c>
      <c r="G19">
        <f>SUM($G$2:$G$17)</f>
        <v>260.234375</v>
      </c>
      <c r="H19">
        <f>SUM($H$2:$H$17)</f>
        <v>302.359375</v>
      </c>
    </row>
    <row r="20" spans="1:8" x14ac:dyDescent="0.55000000000000004">
      <c r="A20" t="s">
        <v>10</v>
      </c>
      <c r="B20" t="s">
        <v>11</v>
      </c>
      <c r="C20">
        <f>SUM($F$2:$F$17)/SQRT(SUM($G$2:$G$17)*SUM($H$2:$H$17))</f>
        <v>0.67494919376619988</v>
      </c>
    </row>
    <row r="21" spans="1:8" x14ac:dyDescent="0.55000000000000004">
      <c r="A21" t="s">
        <v>10</v>
      </c>
      <c r="B21" t="s">
        <v>12</v>
      </c>
      <c r="C21">
        <f>COUNT($B$2:$B$17)</f>
        <v>16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栁原魁人</dc:creator>
  <cp:lastModifiedBy>栁原 魁人_長野</cp:lastModifiedBy>
  <dcterms:created xsi:type="dcterms:W3CDTF">2026-02-04T06:06:19Z</dcterms:created>
  <dcterms:modified xsi:type="dcterms:W3CDTF">2026-02-04T06:16:52Z</dcterms:modified>
</cp:coreProperties>
</file>