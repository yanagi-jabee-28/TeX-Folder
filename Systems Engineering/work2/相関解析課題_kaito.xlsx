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<sst xmlns="http://schemas.openxmlformats.org/spreadsheetml/2006/main" count="44" uniqueCount="28">
  <si>
    <t>基板サンプルNo.</t>
  </si>
  <si>
    <t>パターンめっき厚_um</t>
  </si>
  <si>
    <t>パターン幅_um</t>
  </si>
  <si>
    <t>めっき厚-平均</t>
  </si>
  <si>
    <t>幅-平均</t>
  </si>
  <si>
    <t>偏差積</t>
  </si>
  <si>
    <t>偏差^2_厚</t>
  </si>
  <si>
    <t>偏差^2_幅</t>
  </si>
  <si>
    <t>平均</t>
  </si>
  <si>
    <t>合計</t>
  </si>
  <si>
    <t>計算</t>
  </si>
  <si>
    <t>相関係数_r</t>
  </si>
  <si>
    <t>n</t>
  </si>
  <si>
    <t>t値</t>
  </si>
  <si>
    <t>p値 (two-tailed)</t>
  </si>
  <si>
    <t>t臨界(α=0.05)</t>
  </si>
  <si>
    <t>df</t>
  </si>
  <si>
    <t>Fisher_z</t>
  </si>
  <si>
    <t>se_z</t>
  </si>
  <si>
    <t>z_crit(0.975)</t>
  </si>
  <si>
    <t>r_lower (95%CI)</t>
  </si>
  <si>
    <t>r_upper (95%CI)</t>
  </si>
  <si>
    <t>結果（Python計算）</t>
  </si>
  <si>
    <t>r</t>
  </si>
  <si>
    <t>t</t>
  </si>
  <si>
    <t>p (two‑tailed)</t>
  </si>
  <si>
    <t>95% CI for r</t>
  </si>
  <si>
    <t>[0.27, 0.88]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</si>
</sst>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パターンめっき厚 と パターン幅 の散布図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データ</c:v>
          </c:tx>
          <c:marker>
            <c:symbol val="circle"/>
            <c:size val="6"/>
          </c:marker>
          <c:xVal>
            <c:numRef>
              <c:f>Data!$B$2:$B$17</c:f>
              <c:numCache>
                <c:formatCode>General</c:formatCode>
                <c:ptCount val="16"/>
                <c:pt idx="0">
                  <c:v>48</c:v>
                </c:pt>
                <c:pt idx="1">
                  <c:v>51.5</c:v>
                </c:pt>
                <c:pt idx="2">
                  <c:v>44</c:v>
                </c:pt>
                <c:pt idx="3">
                  <c:v>53</c:v>
                </c:pt>
                <c:pt idx="4">
                  <c:v>49.5</c:v>
                </c:pt>
                <c:pt idx="5">
                  <c:v>49.5</c:v>
                </c:pt>
                <c:pt idx="6">
                  <c:v>38.5</c:v>
                </c:pt>
                <c:pt idx="7">
                  <c:v>53.5</c:v>
                </c:pt>
                <c:pt idx="8">
                  <c:v>46.5</c:v>
                </c:pt>
                <c:pt idx="9">
                  <c:v>45</c:v>
                </c:pt>
                <c:pt idx="10">
                  <c:v>48.5</c:v>
                </c:pt>
                <c:pt idx="11">
                  <c:v>52</c:v>
                </c:pt>
                <c:pt idx="12">
                  <c:v>51</c:v>
                </c:pt>
                <c:pt idx="13">
                  <c:v>47</c:v>
                </c:pt>
                <c:pt idx="14">
                  <c:v>41.5</c:v>
                </c:pt>
                <c:pt idx="15">
                  <c:v>49.5</c:v>
                </c:pt>
              </c:numCache>
            </c:numRef>
          </c:xVal>
          <c:yVal>
            <c:numRef>
              <c:f>Data!$C$2:$C$17</c:f>
              <c:numCache>
                <c:formatCode>General</c:formatCode>
                <c:ptCount val="16"/>
                <c:pt idx="0">
                  <c:v>75.5</c:v>
                </c:pt>
                <c:pt idx="1">
                  <c:v>82.5</c:v>
                </c:pt>
                <c:pt idx="2">
                  <c:v>75.5</c:v>
                </c:pt>
                <c:pt idx="3">
                  <c:v>86.5</c:v>
                </c:pt>
                <c:pt idx="4">
                  <c:v>77</c:v>
                </c:pt>
                <c:pt idx="5">
                  <c:v>86.5</c:v>
                </c:pt>
                <c:pt idx="6">
                  <c:v>70.5</c:v>
                </c:pt>
                <c:pt idx="7">
                  <c:v>79</c:v>
                </c:pt>
                <c:pt idx="8">
                  <c:v>81</c:v>
                </c:pt>
                <c:pt idx="9">
                  <c:v>81.5</c:v>
                </c:pt>
                <c:pt idx="10">
                  <c:v>83.5</c:v>
                </c:pt>
                <c:pt idx="11">
                  <c:v>79.5</c:v>
                </c:pt>
                <c:pt idx="12">
                  <c:v>85.5</c:v>
                </c:pt>
                <c:pt idx="13">
                  <c:v>77</c:v>
                </c:pt>
                <c:pt idx="14">
                  <c:v>76</c:v>
                </c:pt>
                <c:pt idx="15">
                  <c:v>80.5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パターンめっき厚 (μm)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パターン幅 (μm)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19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cols>
    <col min="1" max="1" width="12.7109375" customWidth="1"/>
    <col min="2" max="8" width="14.7109375" style="1" customWidth="1"/>
  </cols>
  <sheetData>
    <row r="1" spans="1:8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1">
        <v>48</v>
      </c>
      <c r="C2" s="1">
        <v>75.5</v>
      </c>
      <c r="D2" s="1">
        <f>B2-AVERAGE($B$2:$B$17)</f>
        <v>0</v>
      </c>
      <c r="E2" s="1">
        <f>C2-AVERAGE($C$2:$C$17)</f>
        <v>0</v>
      </c>
      <c r="F2" s="1">
        <f>D2*E2</f>
        <v>0</v>
      </c>
      <c r="G2" s="1">
        <f>D2^2</f>
        <v>0</v>
      </c>
      <c r="H2" s="1">
        <f>E2^2</f>
        <v>0</v>
      </c>
    </row>
    <row r="3" spans="1:8">
      <c r="A3">
        <v>2</v>
      </c>
      <c r="B3" s="1">
        <v>51.5</v>
      </c>
      <c r="C3" s="1">
        <v>82.5</v>
      </c>
      <c r="D3" s="1">
        <f>B3-AVERAGE($B$2:$B$17)</f>
        <v>0</v>
      </c>
      <c r="E3" s="1">
        <f>C3-AVERAGE($C$2:$C$17)</f>
        <v>0</v>
      </c>
      <c r="F3" s="1">
        <f>D3*E3</f>
        <v>0</v>
      </c>
      <c r="G3" s="1">
        <f>D3^2</f>
        <v>0</v>
      </c>
      <c r="H3" s="1">
        <f>E3^2</f>
        <v>0</v>
      </c>
    </row>
    <row r="4" spans="1:8">
      <c r="A4">
        <v>3</v>
      </c>
      <c r="B4" s="1">
        <v>44</v>
      </c>
      <c r="C4" s="1">
        <v>75.5</v>
      </c>
      <c r="D4" s="1">
        <f>B4-AVERAGE($B$2:$B$17)</f>
        <v>0</v>
      </c>
      <c r="E4" s="1">
        <f>C4-AVERAGE($C$2:$C$17)</f>
        <v>0</v>
      </c>
      <c r="F4" s="1">
        <f>D4*E4</f>
        <v>0</v>
      </c>
      <c r="G4" s="1">
        <f>D4^2</f>
        <v>0</v>
      </c>
      <c r="H4" s="1">
        <f>E4^2</f>
        <v>0</v>
      </c>
    </row>
    <row r="5" spans="1:8">
      <c r="A5">
        <v>4</v>
      </c>
      <c r="B5" s="1">
        <v>53</v>
      </c>
      <c r="C5" s="1">
        <v>86.5</v>
      </c>
      <c r="D5" s="1">
        <f>B5-AVERAGE($B$2:$B$17)</f>
        <v>0</v>
      </c>
      <c r="E5" s="1">
        <f>C5-AVERAGE($C$2:$C$17)</f>
        <v>0</v>
      </c>
      <c r="F5" s="1">
        <f>D5*E5</f>
        <v>0</v>
      </c>
      <c r="G5" s="1">
        <f>D5^2</f>
        <v>0</v>
      </c>
      <c r="H5" s="1">
        <f>E5^2</f>
        <v>0</v>
      </c>
    </row>
    <row r="6" spans="1:8">
      <c r="A6">
        <v>5</v>
      </c>
      <c r="B6" s="1">
        <v>49.5</v>
      </c>
      <c r="C6" s="1">
        <v>77</v>
      </c>
      <c r="D6" s="1">
        <f>B6-AVERAGE($B$2:$B$17)</f>
        <v>0</v>
      </c>
      <c r="E6" s="1">
        <f>C6-AVERAGE($C$2:$C$17)</f>
        <v>0</v>
      </c>
      <c r="F6" s="1">
        <f>D6*E6</f>
        <v>0</v>
      </c>
      <c r="G6" s="1">
        <f>D6^2</f>
        <v>0</v>
      </c>
      <c r="H6" s="1">
        <f>E6^2</f>
        <v>0</v>
      </c>
    </row>
    <row r="7" spans="1:8">
      <c r="A7">
        <v>6</v>
      </c>
      <c r="B7" s="1">
        <v>49.5</v>
      </c>
      <c r="C7" s="1">
        <v>86.5</v>
      </c>
      <c r="D7" s="1">
        <f>B7-AVERAGE($B$2:$B$17)</f>
        <v>0</v>
      </c>
      <c r="E7" s="1">
        <f>C7-AVERAGE($C$2:$C$17)</f>
        <v>0</v>
      </c>
      <c r="F7" s="1">
        <f>D7*E7</f>
        <v>0</v>
      </c>
      <c r="G7" s="1">
        <f>D7^2</f>
        <v>0</v>
      </c>
      <c r="H7" s="1">
        <f>E7^2</f>
        <v>0</v>
      </c>
    </row>
    <row r="8" spans="1:8">
      <c r="A8">
        <v>7</v>
      </c>
      <c r="B8" s="1">
        <v>38.5</v>
      </c>
      <c r="C8" s="1">
        <v>70.5</v>
      </c>
      <c r="D8" s="1">
        <f>B8-AVERAGE($B$2:$B$17)</f>
        <v>0</v>
      </c>
      <c r="E8" s="1">
        <f>C8-AVERAGE($C$2:$C$17)</f>
        <v>0</v>
      </c>
      <c r="F8" s="1">
        <f>D8*E8</f>
        <v>0</v>
      </c>
      <c r="G8" s="1">
        <f>D8^2</f>
        <v>0</v>
      </c>
      <c r="H8" s="1">
        <f>E8^2</f>
        <v>0</v>
      </c>
    </row>
    <row r="9" spans="1:8">
      <c r="A9">
        <v>8</v>
      </c>
      <c r="B9" s="1">
        <v>53.5</v>
      </c>
      <c r="C9" s="1">
        <v>79</v>
      </c>
      <c r="D9" s="1">
        <f>B9-AVERAGE($B$2:$B$17)</f>
        <v>0</v>
      </c>
      <c r="E9" s="1">
        <f>C9-AVERAGE($C$2:$C$17)</f>
        <v>0</v>
      </c>
      <c r="F9" s="1">
        <f>D9*E9</f>
        <v>0</v>
      </c>
      <c r="G9" s="1">
        <f>D9^2</f>
        <v>0</v>
      </c>
      <c r="H9" s="1">
        <f>E9^2</f>
        <v>0</v>
      </c>
    </row>
    <row r="10" spans="1:8">
      <c r="A10">
        <v>9</v>
      </c>
      <c r="B10" s="1">
        <v>46.5</v>
      </c>
      <c r="C10" s="1">
        <v>81</v>
      </c>
      <c r="D10" s="1">
        <f>B10-AVERAGE($B$2:$B$17)</f>
        <v>0</v>
      </c>
      <c r="E10" s="1">
        <f>C10-AVERAGE($C$2:$C$17)</f>
        <v>0</v>
      </c>
      <c r="F10" s="1">
        <f>D10*E10</f>
        <v>0</v>
      </c>
      <c r="G10" s="1">
        <f>D10^2</f>
        <v>0</v>
      </c>
      <c r="H10" s="1">
        <f>E10^2</f>
        <v>0</v>
      </c>
    </row>
    <row r="11" spans="1:8">
      <c r="A11">
        <v>10</v>
      </c>
      <c r="B11" s="1">
        <v>45</v>
      </c>
      <c r="C11" s="1">
        <v>81.5</v>
      </c>
      <c r="D11" s="1">
        <f>B11-AVERAGE($B$2:$B$17)</f>
        <v>0</v>
      </c>
      <c r="E11" s="1">
        <f>C11-AVERAGE($C$2:$C$17)</f>
        <v>0</v>
      </c>
      <c r="F11" s="1">
        <f>D11*E11</f>
        <v>0</v>
      </c>
      <c r="G11" s="1">
        <f>D11^2</f>
        <v>0</v>
      </c>
      <c r="H11" s="1">
        <f>E11^2</f>
        <v>0</v>
      </c>
    </row>
    <row r="12" spans="1:8">
      <c r="A12">
        <v>11</v>
      </c>
      <c r="B12" s="1">
        <v>48.5</v>
      </c>
      <c r="C12" s="1">
        <v>83.5</v>
      </c>
      <c r="D12" s="1">
        <f>B12-AVERAGE($B$2:$B$17)</f>
        <v>0</v>
      </c>
      <c r="E12" s="1">
        <f>C12-AVERAGE($C$2:$C$17)</f>
        <v>0</v>
      </c>
      <c r="F12" s="1">
        <f>D12*E12</f>
        <v>0</v>
      </c>
      <c r="G12" s="1">
        <f>D12^2</f>
        <v>0</v>
      </c>
      <c r="H12" s="1">
        <f>E12^2</f>
        <v>0</v>
      </c>
    </row>
    <row r="13" spans="1:8">
      <c r="A13">
        <v>12</v>
      </c>
      <c r="B13" s="1">
        <v>52</v>
      </c>
      <c r="C13" s="1">
        <v>79.5</v>
      </c>
      <c r="D13" s="1">
        <f>B13-AVERAGE($B$2:$B$17)</f>
        <v>0</v>
      </c>
      <c r="E13" s="1">
        <f>C13-AVERAGE($C$2:$C$17)</f>
        <v>0</v>
      </c>
      <c r="F13" s="1">
        <f>D13*E13</f>
        <v>0</v>
      </c>
      <c r="G13" s="1">
        <f>D13^2</f>
        <v>0</v>
      </c>
      <c r="H13" s="1">
        <f>E13^2</f>
        <v>0</v>
      </c>
    </row>
    <row r="14" spans="1:8">
      <c r="A14">
        <v>13</v>
      </c>
      <c r="B14" s="1">
        <v>51</v>
      </c>
      <c r="C14" s="1">
        <v>85.5</v>
      </c>
      <c r="D14" s="1">
        <f>B14-AVERAGE($B$2:$B$17)</f>
        <v>0</v>
      </c>
      <c r="E14" s="1">
        <f>C14-AVERAGE($C$2:$C$17)</f>
        <v>0</v>
      </c>
      <c r="F14" s="1">
        <f>D14*E14</f>
        <v>0</v>
      </c>
      <c r="G14" s="1">
        <f>D14^2</f>
        <v>0</v>
      </c>
      <c r="H14" s="1">
        <f>E14^2</f>
        <v>0</v>
      </c>
    </row>
    <row r="15" spans="1:8">
      <c r="A15">
        <v>14</v>
      </c>
      <c r="B15" s="1">
        <v>47</v>
      </c>
      <c r="C15" s="1">
        <v>77</v>
      </c>
      <c r="D15" s="1">
        <f>B15-AVERAGE($B$2:$B$17)</f>
        <v>0</v>
      </c>
      <c r="E15" s="1">
        <f>C15-AVERAGE($C$2:$C$17)</f>
        <v>0</v>
      </c>
      <c r="F15" s="1">
        <f>D15*E15</f>
        <v>0</v>
      </c>
      <c r="G15" s="1">
        <f>D15^2</f>
        <v>0</v>
      </c>
      <c r="H15" s="1">
        <f>E15^2</f>
        <v>0</v>
      </c>
    </row>
    <row r="16" spans="1:8">
      <c r="A16">
        <v>15</v>
      </c>
      <c r="B16" s="1">
        <v>41.5</v>
      </c>
      <c r="C16" s="1">
        <v>76</v>
      </c>
      <c r="D16" s="1">
        <f>B16-AVERAGE($B$2:$B$17)</f>
        <v>0</v>
      </c>
      <c r="E16" s="1">
        <f>C16-AVERAGE($C$2:$C$17)</f>
        <v>0</v>
      </c>
      <c r="F16" s="1">
        <f>D16*E16</f>
        <v>0</v>
      </c>
      <c r="G16" s="1">
        <f>D16^2</f>
        <v>0</v>
      </c>
      <c r="H16" s="1">
        <f>E16^2</f>
        <v>0</v>
      </c>
    </row>
    <row r="17" spans="1:8">
      <c r="A17">
        <v>16</v>
      </c>
      <c r="B17" s="1">
        <v>49.5</v>
      </c>
      <c r="C17" s="1">
        <v>80.5</v>
      </c>
      <c r="D17" s="1">
        <f>B17-AVERAGE($B$2:$B$17)</f>
        <v>0</v>
      </c>
      <c r="E17" s="1">
        <f>C17-AVERAGE($C$2:$C$17)</f>
        <v>0</v>
      </c>
      <c r="F17" s="1">
        <f>D17*E17</f>
        <v>0</v>
      </c>
      <c r="G17" s="1">
        <f>D17^2</f>
        <v>0</v>
      </c>
      <c r="H17" s="1">
        <f>E17^2</f>
        <v>0</v>
      </c>
    </row>
    <row r="19" spans="1:8">
      <c r="A19" t="s">
        <v>8</v>
      </c>
      <c r="B19" s="1">
        <f>AVERAGE($B$2:$B$17)</f>
        <v>0</v>
      </c>
      <c r="C19" s="1">
        <f>AVERAGE($C$2:$C$17)</f>
        <v>0</v>
      </c>
      <c r="D19" s="1">
        <f>AVERAGE($D$2:$D$17)</f>
        <v>0</v>
      </c>
      <c r="E19" s="1">
        <f>AVERAGE($E$2:$E$17)</f>
        <v>0</v>
      </c>
      <c r="F19" s="1">
        <f>SUM($F$2:$F$17)</f>
        <v>0</v>
      </c>
      <c r="G19" s="1">
        <f>AVERAGE($G$2:$G$17)</f>
        <v>0</v>
      </c>
      <c r="H19" s="1">
        <f>AVERAGE($H$2:$H$17)</f>
        <v>0</v>
      </c>
    </row>
    <row r="20" spans="1:8">
      <c r="A20" t="s">
        <v>9</v>
      </c>
      <c r="B20" s="1">
        <f>SUM($B$2:$B$17)</f>
        <v>0</v>
      </c>
      <c r="C20" s="1">
        <f>SUM($C$2:$C$17)</f>
        <v>0</v>
      </c>
      <c r="D20" s="1">
        <f>SUM($D$2:$D$17)</f>
        <v>0</v>
      </c>
      <c r="E20" s="1">
        <f>SUM($E$2:$E$17)</f>
        <v>0</v>
      </c>
      <c r="F20" s="1">
        <f>SUM($F$2:$F$17)</f>
        <v>0</v>
      </c>
      <c r="G20" s="1">
        <f>SUM($G$2:$G$17)</f>
        <v>0</v>
      </c>
      <c r="H20" s="1">
        <f>SUM($H$2:$H$17)</f>
        <v>0</v>
      </c>
    </row>
    <row r="21" spans="1:8">
      <c r="A21" t="s">
        <v>9</v>
      </c>
      <c r="B21" s="1">
        <v>768.5</v>
      </c>
      <c r="C21" s="1">
        <v>1277.5</v>
      </c>
      <c r="D21" s="1">
        <v>0</v>
      </c>
      <c r="E21" s="1">
        <v>0</v>
      </c>
      <c r="F21" s="1">
        <v>189.328125</v>
      </c>
      <c r="G21" s="1">
        <v>260.234375</v>
      </c>
      <c r="H21" s="1">
        <v>302.359375</v>
      </c>
    </row>
    <row r="24" spans="1:8">
      <c r="A24" s="3" t="s">
        <v>10</v>
      </c>
      <c r="B24" s="1" t="s">
        <v>11</v>
      </c>
      <c r="C24" s="1">
        <f>SUM(F2:F17)/SQRT(SUM(G2:G17)*SUM(H2:H17))</f>
        <v>0</v>
      </c>
      <c r="E24" s="3" t="s">
        <v>22</v>
      </c>
    </row>
    <row r="25" spans="1:8">
      <c r="B25" s="1" t="s">
        <v>12</v>
      </c>
      <c r="C25" s="1">
        <f>COUNT(B2:B17)</f>
        <v>0</v>
      </c>
      <c r="E25" s="3" t="s">
        <v>23</v>
      </c>
      <c r="F25" s="1">
        <v>17</v>
      </c>
    </row>
    <row r="26" spans="1:8">
      <c r="B26" s="1" t="s">
        <v>13</v>
      </c>
      <c r="C26" s="1">
        <f>C25*SQRT((C26-2)/(1-C25^2))</f>
        <v>0</v>
      </c>
      <c r="E26" s="3" t="s">
        <v>12</v>
      </c>
      <c r="F26" s="1">
        <v>16</v>
      </c>
    </row>
    <row r="27" spans="1:8">
      <c r="B27" s="1" t="s">
        <v>14</v>
      </c>
      <c r="C27" s="1">
        <f>T.DIST.2T(ABS(C26),C25-2)</f>
        <v>0</v>
      </c>
      <c r="E27" s="3" t="s">
        <v>24</v>
      </c>
      <c r="F27" s="1">
        <v>3.42261979582592</v>
      </c>
    </row>
    <row r="28" spans="1:8">
      <c r="B28" s="1" t="s">
        <v>15</v>
      </c>
      <c r="C28" s="1">
        <f>T.INV.2T(0.05,C25-2)</f>
        <v>0</v>
      </c>
      <c r="E28" s="3" t="s">
        <v>25</v>
      </c>
      <c r="F28" s="1">
        <v>0.004123146898230896</v>
      </c>
    </row>
    <row r="29" spans="1:8">
      <c r="B29" s="1" t="s">
        <v>16</v>
      </c>
      <c r="C29" s="1">
        <f>C25-2</f>
        <v>0</v>
      </c>
      <c r="E29" s="3" t="s">
        <v>26</v>
      </c>
      <c r="F29" s="1" t="s">
        <v>27</v>
      </c>
    </row>
    <row r="30" spans="1:8">
      <c r="B30" s="1" t="s">
        <v>17</v>
      </c>
      <c r="C30" s="1">
        <f>0.5*LN((1+C24)/(1-C24))</f>
        <v>0</v>
      </c>
    </row>
    <row r="31" spans="1:8">
      <c r="B31" s="1" t="s">
        <v>18</v>
      </c>
      <c r="C31" s="1">
        <f>1/SQRT(COUNT(B2:B17)-3)</f>
        <v>0</v>
      </c>
    </row>
    <row r="32" spans="1:8">
      <c r="B32" s="1" t="s">
        <v>19</v>
      </c>
      <c r="C32" s="1">
        <f>NORM.S.INV(1-0.05/2)</f>
        <v>0</v>
      </c>
    </row>
    <row r="33" spans="2:3">
      <c r="B33" s="1" t="s">
        <v>20</v>
      </c>
      <c r="C33" s="1">
        <f>TANH(C30 - C32*C31)</f>
        <v>0</v>
      </c>
    </row>
    <row r="34" spans="2:3">
      <c r="B34" s="1" t="s">
        <v>21</v>
      </c>
      <c r="C34" s="1">
        <f>TANH(C30 + C32*C31)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2026-02-04T05:38:24Z</dcterms:created>
  <dcterms:modified xsi:type="dcterms:W3CDTF">2026-02-04T05:38:24Z</dcterms:modified>
</cp:coreProperties>
</file>