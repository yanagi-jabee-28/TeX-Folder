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olors4.xml" ContentType="application/vnd.ms-office.chartcolorstyle+xml"/>
  <Override PartName="/xl/worksheets/sheet1.xml" ContentType="application/vnd.openxmlformats-officedocument.spreadsheetml.worksheet+xml"/>
  <Override PartName="/xl/charts/chart4.xml" ContentType="application/vnd.openxmlformats-officedocument.drawingml.chart+xml"/>
  <Override PartName="/xl/charts/style4.xml" ContentType="application/vnd.ms-office.chartstyle+xml"/>
  <Override PartName="/xl/charts/style3.xml" ContentType="application/vnd.ms-office.chartstyle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olors3.xml" ContentType="application/vnd.ms-office.chartcolorstyle+xml"/>
  <Override PartName="/xl/drawings/drawing3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yokoyama\Documents\!授業\5E\2025\レポート見本\"/>
    </mc:Choice>
  </mc:AlternateContent>
  <xr:revisionPtr revIDLastSave="0" documentId="13_ncr:1_{1FCACC47-EEF7-47F8-A8DA-10090972A94F}" xr6:coauthVersionLast="36" xr6:coauthVersionMax="36" xr10:uidLastSave="{00000000-0000-0000-0000-000000000000}"/>
  <bookViews>
    <workbookView xWindow="0" yWindow="0" windowWidth="24420" windowHeight="15510" xr2:uid="{00000000-000D-0000-FFFF-FFFF00000000}"/>
  </bookViews>
  <sheets>
    <sheet name="使用機器" sheetId="1" r:id="rId1"/>
    <sheet name="気中火花" sheetId="2" r:id="rId2"/>
    <sheet name="液体個体" sheetId="18" r:id="rId3"/>
    <sheet name="碍子インパルス" sheetId="19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47" i="2" l="1"/>
  <c r="V46" i="2"/>
  <c r="V45" i="2"/>
  <c r="V44" i="2"/>
  <c r="V43" i="2"/>
  <c r="Z52" i="19" l="1"/>
  <c r="C52" i="19"/>
  <c r="Z51" i="19"/>
  <c r="C51" i="19"/>
  <c r="Z50" i="19"/>
  <c r="C50" i="19"/>
  <c r="Z49" i="19"/>
  <c r="C49" i="19"/>
  <c r="AB35" i="19"/>
  <c r="C35" i="19"/>
  <c r="AB34" i="19"/>
  <c r="C34" i="19"/>
  <c r="AB33" i="19"/>
  <c r="C33" i="19"/>
  <c r="Z20" i="19"/>
  <c r="C20" i="19"/>
  <c r="Z19" i="19"/>
  <c r="C19" i="19"/>
  <c r="Z18" i="19"/>
  <c r="C18" i="19"/>
  <c r="Z5" i="19"/>
  <c r="C5" i="19"/>
  <c r="Z4" i="19"/>
  <c r="C4" i="19"/>
  <c r="H17" i="18"/>
  <c r="K17" i="18" s="1"/>
  <c r="D22" i="18" s="1"/>
  <c r="D23" i="18" s="1"/>
  <c r="O29" i="18" s="1"/>
  <c r="Q5" i="18"/>
  <c r="D10" i="18" s="1"/>
  <c r="D11" i="18" s="1"/>
  <c r="K29" i="18" s="1"/>
  <c r="L47" i="2"/>
  <c r="L46" i="2"/>
  <c r="L45" i="2"/>
  <c r="L44" i="2"/>
  <c r="L43" i="2"/>
  <c r="O36" i="2"/>
  <c r="O35" i="2"/>
  <c r="O34" i="2"/>
  <c r="O33" i="2"/>
  <c r="F33" i="2"/>
  <c r="O32" i="2"/>
  <c r="S25" i="2"/>
  <c r="O25" i="2"/>
  <c r="S24" i="2"/>
  <c r="O24" i="2"/>
  <c r="S23" i="2"/>
  <c r="O23" i="2"/>
  <c r="S22" i="2"/>
  <c r="O22" i="2"/>
  <c r="S21" i="2"/>
  <c r="O21" i="2"/>
  <c r="O14" i="2"/>
  <c r="O13" i="2"/>
  <c r="O12" i="2"/>
  <c r="G29" i="18" s="1"/>
  <c r="F12" i="2"/>
  <c r="O11" i="2"/>
  <c r="O10" i="2"/>
  <c r="M3" i="2"/>
  <c r="F36" i="2" s="1"/>
  <c r="I3" i="2"/>
  <c r="F22" i="2" s="1"/>
  <c r="F24" i="2" l="1"/>
  <c r="F34" i="2"/>
  <c r="O30" i="18"/>
  <c r="G22" i="19"/>
  <c r="G37" i="19"/>
  <c r="G7" i="19"/>
  <c r="G6" i="19"/>
  <c r="G54" i="19"/>
  <c r="F13" i="2"/>
  <c r="F25" i="2"/>
  <c r="F35" i="2"/>
  <c r="F10" i="2"/>
  <c r="F14" i="2"/>
  <c r="F23" i="2"/>
  <c r="F32" i="2"/>
  <c r="F11" i="2"/>
  <c r="F21" i="2"/>
  <c r="G30" i="18"/>
  <c r="K30" i="18"/>
  <c r="G36" i="19"/>
  <c r="G21" i="19"/>
  <c r="G53" i="19"/>
  <c r="P12" i="19" l="1"/>
  <c r="P8" i="19"/>
  <c r="Z11" i="19" s="1"/>
  <c r="P59" i="19"/>
  <c r="AB60" i="19" s="1"/>
  <c r="W61" i="19" s="1"/>
  <c r="P55" i="19"/>
  <c r="W56" i="19" s="1"/>
  <c r="AB28" i="19"/>
  <c r="W29" i="19" s="1"/>
  <c r="P42" i="19"/>
  <c r="AB43" i="19" s="1"/>
  <c r="W44" i="19" s="1"/>
  <c r="P38" i="19"/>
  <c r="P23" i="19"/>
  <c r="P27" i="19"/>
  <c r="AB13" i="19"/>
  <c r="W14" i="19" s="1"/>
  <c r="W39" i="19"/>
  <c r="Z41" i="19"/>
  <c r="W9" i="19"/>
  <c r="Z58" i="19" l="1"/>
  <c r="W24" i="19"/>
  <c r="Z26" i="19"/>
</calcChain>
</file>

<file path=xl/sharedStrings.xml><?xml version="1.0" encoding="utf-8"?>
<sst xmlns="http://schemas.openxmlformats.org/spreadsheetml/2006/main" count="300" uniqueCount="94">
  <si>
    <t>機器名</t>
    <rPh sb="0" eb="3">
      <t>キキメイ</t>
    </rPh>
    <phoneticPr fontId="1"/>
  </si>
  <si>
    <t>メーカ名</t>
    <rPh sb="3" eb="4">
      <t>メイ</t>
    </rPh>
    <phoneticPr fontId="1"/>
  </si>
  <si>
    <t>型番</t>
    <rPh sb="0" eb="2">
      <t>カタバン</t>
    </rPh>
    <phoneticPr fontId="1"/>
  </si>
  <si>
    <t>シリアル</t>
    <phoneticPr fontId="1"/>
  </si>
  <si>
    <t>高電圧試験装置</t>
  </si>
  <si>
    <t>CR-200F-32</t>
  </si>
  <si>
    <t>試験用変圧器</t>
  </si>
  <si>
    <t>TT-50K6U</t>
  </si>
  <si>
    <t>直流接地装置</t>
  </si>
  <si>
    <t>DDC-50K</t>
  </si>
  <si>
    <t>標準球ギャップ</t>
  </si>
  <si>
    <t>G-100H</t>
  </si>
  <si>
    <t>ZSK-50W</t>
  </si>
  <si>
    <t>インパルス電圧発生装置</t>
  </si>
  <si>
    <t>IVG-200AS</t>
  </si>
  <si>
    <t>懸垂がいし</t>
  </si>
  <si>
    <t>高電圧プローブ</t>
  </si>
  <si>
    <t>EP-100K</t>
  </si>
  <si>
    <t>オシロスコープ</t>
  </si>
  <si>
    <t>Tektronix</t>
  </si>
  <si>
    <t>TDS 3032</t>
  </si>
  <si>
    <t>B012774</t>
  </si>
  <si>
    <t>同上</t>
    <rPh sb="0" eb="2">
      <t>ドウジョウ</t>
    </rPh>
    <phoneticPr fontId="1"/>
  </si>
  <si>
    <t>気中／油中試験装置</t>
    <phoneticPr fontId="1"/>
  </si>
  <si>
    <t>実測値</t>
  </si>
  <si>
    <t>相対空気密度</t>
    <phoneticPr fontId="1"/>
  </si>
  <si>
    <t>実験式</t>
    <phoneticPr fontId="1"/>
  </si>
  <si>
    <t>1回目</t>
    <phoneticPr fontId="1"/>
  </si>
  <si>
    <t>2回目</t>
    <phoneticPr fontId="1"/>
  </si>
  <si>
    <t>平板－平板</t>
    <phoneticPr fontId="1"/>
  </si>
  <si>
    <t>球－球</t>
    <phoneticPr fontId="1"/>
  </si>
  <si>
    <t>実験式に
おける
補正係数</t>
    <rPh sb="0" eb="3">
      <t>ジッケンシキ</t>
    </rPh>
    <rPh sb="9" eb="13">
      <t>ホセイケイスウ</t>
    </rPh>
    <phoneticPr fontId="1"/>
  </si>
  <si>
    <t>針－針</t>
    <rPh sb="0" eb="1">
      <t>ハリ</t>
    </rPh>
    <rPh sb="2" eb="3">
      <t>ハリ</t>
    </rPh>
    <phoneticPr fontId="1"/>
  </si>
  <si>
    <t>相対空気密度（針－針）</t>
    <rPh sb="7" eb="8">
      <t>ハリ</t>
    </rPh>
    <rPh sb="9" eb="10">
      <t>ハリ</t>
    </rPh>
    <phoneticPr fontId="1"/>
  </si>
  <si>
    <t>球半径：</t>
    <rPh sb="0" eb="3">
      <t>キュウハンケイ</t>
    </rPh>
    <phoneticPr fontId="1"/>
  </si>
  <si>
    <t>cm</t>
    <phoneticPr fontId="1"/>
  </si>
  <si>
    <t>気温 [℃]</t>
    <phoneticPr fontId="1"/>
  </si>
  <si>
    <t>気圧 [hPa]</t>
    <rPh sb="0" eb="2">
      <t>キアツ</t>
    </rPh>
    <phoneticPr fontId="1"/>
  </si>
  <si>
    <t>ギャップ長
[cm]</t>
    <phoneticPr fontId="1"/>
  </si>
  <si>
    <t>破壊電圧 [kV]</t>
    <phoneticPr fontId="1"/>
  </si>
  <si>
    <t>1回目
[kV]</t>
    <phoneticPr fontId="1"/>
  </si>
  <si>
    <t>2回目
[kV]</t>
  </si>
  <si>
    <t>3回目
[kV]</t>
  </si>
  <si>
    <t>4回目
[kV]</t>
  </si>
  <si>
    <t>絶縁油</t>
    <rPh sb="0" eb="3">
      <t>ゼツエンユ</t>
    </rPh>
    <phoneticPr fontId="1"/>
  </si>
  <si>
    <t>2～5回目の平均値
[kV]</t>
    <rPh sb="6" eb="8">
      <t>ヘイキン</t>
    </rPh>
    <rPh sb="8" eb="9">
      <t>アタイ</t>
    </rPh>
    <phoneticPr fontId="1"/>
  </si>
  <si>
    <t>波高値（√2×平均値）
[kV]</t>
    <rPh sb="0" eb="2">
      <t>ハコウ</t>
    </rPh>
    <rPh sb="2" eb="3">
      <t>アタイ</t>
    </rPh>
    <rPh sb="9" eb="10">
      <t>アタイ</t>
    </rPh>
    <phoneticPr fontId="1"/>
  </si>
  <si>
    <t>平均値</t>
    <rPh sb="2" eb="3">
      <t>アタイ</t>
    </rPh>
    <phoneticPr fontId="1"/>
  </si>
  <si>
    <t>A</t>
    <phoneticPr fontId="1"/>
  </si>
  <si>
    <t>V</t>
    <phoneticPr fontId="1"/>
  </si>
  <si>
    <t>n</t>
    <phoneticPr fontId="1"/>
  </si>
  <si>
    <t>d</t>
    <phoneticPr fontId="1"/>
  </si>
  <si>
    <t>ギャップ長1cmにおける破壊試験</t>
    <rPh sb="4" eb="5">
      <t>チョウ</t>
    </rPh>
    <rPh sb="12" eb="16">
      <t>ハカイシケン</t>
    </rPh>
    <phoneticPr fontId="1"/>
  </si>
  <si>
    <t>2回目
[kV]</t>
    <phoneticPr fontId="1"/>
  </si>
  <si>
    <t>5回目
[kV]</t>
  </si>
  <si>
    <t>平均値
[kV]</t>
    <rPh sb="0" eb="3">
      <t>ヘイキンチ</t>
    </rPh>
    <phoneticPr fontId="1"/>
  </si>
  <si>
    <t>気体、液体、固体の 破壊電圧の比較</t>
    <rPh sb="0" eb="2">
      <t>キタイ</t>
    </rPh>
    <rPh sb="3" eb="5">
      <t>エキタイ</t>
    </rPh>
    <rPh sb="6" eb="8">
      <t>コタイ</t>
    </rPh>
    <rPh sb="10" eb="14">
      <t>ハカイデンアツ</t>
    </rPh>
    <rPh sb="15" eb="17">
      <t>ヒカク</t>
    </rPh>
    <phoneticPr fontId="1"/>
  </si>
  <si>
    <t>ベークライト</t>
    <phoneticPr fontId="1"/>
  </si>
  <si>
    <t>破壊電圧</t>
    <phoneticPr fontId="1"/>
  </si>
  <si>
    <t>気体に対する比</t>
    <rPh sb="0" eb="2">
      <t>キタイ</t>
    </rPh>
    <rPh sb="3" eb="4">
      <t>タイ</t>
    </rPh>
    <rPh sb="6" eb="7">
      <t>ヒ</t>
    </rPh>
    <phoneticPr fontId="1"/>
  </si>
  <si>
    <t>回目</t>
    <rPh sb="0" eb="2">
      <t>カイメ</t>
    </rPh>
    <phoneticPr fontId="1"/>
  </si>
  <si>
    <t>×</t>
  </si>
  <si>
    <t>×</t>
    <phoneticPr fontId="1"/>
  </si>
  <si>
    <t>〇</t>
  </si>
  <si>
    <t>〇</t>
    <phoneticPr fontId="1"/>
  </si>
  <si>
    <t>フラッシオーバの有無（有 : 〇，無 : ×）</t>
    <rPh sb="8" eb="10">
      <t>ウム</t>
    </rPh>
    <rPh sb="11" eb="12">
      <t>ア</t>
    </rPh>
    <rPh sb="17" eb="18">
      <t>ナ</t>
    </rPh>
    <phoneticPr fontId="1"/>
  </si>
  <si>
    <t>フラッシのオーバ有無（有 : 〇，無 : ×）</t>
    <rPh sb="8" eb="10">
      <t>ウム</t>
    </rPh>
    <rPh sb="11" eb="12">
      <t>ア</t>
    </rPh>
    <rPh sb="17" eb="18">
      <t>ナ</t>
    </rPh>
    <phoneticPr fontId="1"/>
  </si>
  <si>
    <t>%フラッシオーバ電圧：</t>
    <rPh sb="8" eb="10">
      <t>デンアツ</t>
    </rPh>
    <phoneticPr fontId="1"/>
  </si>
  <si>
    <t>傾き:</t>
    <rPh sb="0" eb="1">
      <t>カタム</t>
    </rPh>
    <phoneticPr fontId="1"/>
  </si>
  <si>
    <t>切片:</t>
    <rPh sb="0" eb="2">
      <t>セッペン</t>
    </rPh>
    <phoneticPr fontId="1"/>
  </si>
  <si>
    <t>碍子の対雷インパルス電圧に対する比：</t>
    <rPh sb="0" eb="2">
      <t>ガイシ</t>
    </rPh>
    <rPh sb="3" eb="4">
      <t>ツイ</t>
    </rPh>
    <rPh sb="4" eb="5">
      <t>ライ</t>
    </rPh>
    <rPh sb="10" eb="12">
      <t>デンアツ</t>
    </rPh>
    <rPh sb="13" eb="14">
      <t>タイ</t>
    </rPh>
    <rPh sb="16" eb="17">
      <t>ヒ</t>
    </rPh>
    <phoneticPr fontId="1"/>
  </si>
  <si>
    <t>自分の抵抗値：</t>
    <rPh sb="0" eb="2">
      <t>ジブン</t>
    </rPh>
    <rPh sb="3" eb="5">
      <t>テイコウ</t>
    </rPh>
    <rPh sb="5" eb="6">
      <t>チ</t>
    </rPh>
    <phoneticPr fontId="1"/>
  </si>
  <si>
    <t>kΩ</t>
    <phoneticPr fontId="1"/>
  </si>
  <si>
    <t>kV</t>
    <phoneticPr fontId="1"/>
  </si>
  <si>
    <t>50%フラッシオーバ電圧の感電時に流れる電流：</t>
    <rPh sb="10" eb="12">
      <t>デンアツ</t>
    </rPh>
    <rPh sb="13" eb="15">
      <t>カンデン</t>
    </rPh>
    <rPh sb="15" eb="16">
      <t>ジ</t>
    </rPh>
    <rPh sb="17" eb="18">
      <t>ナガ</t>
    </rPh>
    <rPh sb="20" eb="22">
      <t>デンリュウ</t>
    </rPh>
    <phoneticPr fontId="1"/>
  </si>
  <si>
    <t>mA</t>
    <phoneticPr fontId="1"/>
  </si>
  <si>
    <t>デジタルテスタ</t>
    <phoneticPr fontId="1"/>
  </si>
  <si>
    <t>マザーツール</t>
    <phoneticPr fontId="1"/>
  </si>
  <si>
    <t>MT-8210</t>
  </si>
  <si>
    <t>不明</t>
    <rPh sb="0" eb="2">
      <t>フメイ</t>
    </rPh>
    <phoneticPr fontId="1"/>
  </si>
  <si>
    <t>標準状態におけるフラッシオーバが0%となる電圧：</t>
    <rPh sb="0" eb="2">
      <t>ヒョウジュン</t>
    </rPh>
    <rPh sb="2" eb="4">
      <t>ジョウタイ</t>
    </rPh>
    <rPh sb="21" eb="23">
      <t>デンアツ</t>
    </rPh>
    <phoneticPr fontId="1"/>
  </si>
  <si>
    <t>パルス電子技術株式会社</t>
    <phoneticPr fontId="1"/>
  </si>
  <si>
    <t>A-S-1527AB JIS記号：180EP</t>
    <phoneticPr fontId="1"/>
  </si>
  <si>
    <t>気体
（空気）</t>
    <rPh sb="0" eb="2">
      <t>キタイ</t>
    </rPh>
    <phoneticPr fontId="1"/>
  </si>
  <si>
    <t>液体
（絶縁油）</t>
    <rPh sb="0" eb="2">
      <t>エキタイ</t>
    </rPh>
    <phoneticPr fontId="1"/>
  </si>
  <si>
    <t>固体
（ベークライト）</t>
    <rPh sb="0" eb="2">
      <t>コタイ</t>
    </rPh>
    <phoneticPr fontId="1"/>
  </si>
  <si>
    <r>
      <t xml:space="preserve">充電電圧
</t>
    </r>
    <r>
      <rPr>
        <i/>
        <sz val="9"/>
        <color theme="1"/>
        <rFont val="游明朝"/>
        <family val="1"/>
        <charset val="128"/>
      </rPr>
      <t>V</t>
    </r>
    <r>
      <rPr>
        <i/>
        <vertAlign val="subscript"/>
        <sz val="9"/>
        <color theme="1"/>
        <rFont val="游明朝"/>
        <family val="1"/>
        <charset val="128"/>
      </rPr>
      <t xml:space="preserve">i </t>
    </r>
    <r>
      <rPr>
        <sz val="9"/>
        <color theme="1"/>
        <rFont val="游明朝"/>
        <family val="1"/>
        <charset val="128"/>
      </rPr>
      <t>[kV]</t>
    </r>
    <rPh sb="0" eb="4">
      <t>ジュウデンデンアツ</t>
    </rPh>
    <phoneticPr fontId="1"/>
  </si>
  <si>
    <r>
      <t xml:space="preserve">インパルス電圧
</t>
    </r>
    <r>
      <rPr>
        <i/>
        <sz val="9"/>
        <color theme="1"/>
        <rFont val="游明朝"/>
        <family val="1"/>
        <charset val="128"/>
      </rPr>
      <t>V</t>
    </r>
    <r>
      <rPr>
        <i/>
        <vertAlign val="subscript"/>
        <sz val="9"/>
        <color theme="1"/>
        <rFont val="游明朝"/>
        <family val="1"/>
        <charset val="128"/>
      </rPr>
      <t xml:space="preserve">o </t>
    </r>
    <r>
      <rPr>
        <sz val="9"/>
        <color theme="1"/>
        <rFont val="游明朝"/>
        <family val="1"/>
        <charset val="128"/>
      </rPr>
      <t>[kV]</t>
    </r>
    <rPh sb="5" eb="7">
      <t>デンアツ</t>
    </rPh>
    <phoneticPr fontId="1"/>
  </si>
  <si>
    <r>
      <t xml:space="preserve">放電率
</t>
    </r>
    <r>
      <rPr>
        <i/>
        <sz val="9"/>
        <color theme="1"/>
        <rFont val="游明朝"/>
        <family val="1"/>
        <charset val="128"/>
      </rPr>
      <t xml:space="preserve">p </t>
    </r>
    <r>
      <rPr>
        <sz val="9"/>
        <color theme="1"/>
        <rFont val="游明朝"/>
        <family val="1"/>
        <charset val="128"/>
      </rPr>
      <t>[%]</t>
    </r>
    <rPh sb="0" eb="3">
      <t>ホウデンリツ</t>
    </rPh>
    <phoneticPr fontId="1"/>
  </si>
  <si>
    <t>針（＋）</t>
    <phoneticPr fontId="1"/>
  </si>
  <si>
    <t>針（－）</t>
    <phoneticPr fontId="1"/>
  </si>
  <si>
    <t>針－平板</t>
    <rPh sb="0" eb="1">
      <t>ハリ</t>
    </rPh>
    <rPh sb="2" eb="4">
      <t>ヘイバン</t>
    </rPh>
    <phoneticPr fontId="1"/>
  </si>
  <si>
    <t>実験のギャップ長</t>
    <rPh sb="0" eb="2">
      <t>ジッケン</t>
    </rPh>
    <rPh sb="7" eb="8">
      <t>チョウ</t>
    </rPh>
    <phoneticPr fontId="1"/>
  </si>
  <si>
    <t>ギャップ長1cmの破壊電圧</t>
    <rPh sb="9" eb="13">
      <t>ハカイデンアツ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</si>
</sst>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"/>
    <numFmt numFmtId="178" formatCode="#,##0.0;[Red]\-#,##0.0"/>
  </numFmts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9"/>
      <color theme="1"/>
      <name val="游明朝"/>
      <family val="1"/>
      <charset val="128"/>
    </font>
    <font>
      <i/>
      <sz val="9"/>
      <color theme="1"/>
      <name val="游明朝"/>
      <family val="1"/>
      <charset val="128"/>
    </font>
    <font>
      <i/>
      <vertAlign val="subscript"/>
      <sz val="9"/>
      <color theme="1"/>
      <name val="游明朝"/>
      <family val="1"/>
      <charset val="128"/>
    </font>
    <font>
      <b/>
      <sz val="9"/>
      <color theme="1"/>
      <name val="游明朝"/>
      <family val="1"/>
      <charset val="128"/>
    </font>
    <font>
      <sz val="9"/>
      <color theme="1"/>
      <name val="Noto Serif JP Light"/>
      <family val="1"/>
      <charset val="128"/>
    </font>
    <font>
      <b/>
      <sz val="9"/>
      <color theme="1"/>
      <name val="Noto Serif JP Light"/>
      <family val="1"/>
      <charset val="128"/>
    </font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/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/>
      <diagonal/>
    </border>
    <border>
      <left/>
      <right/>
      <top style="thin">
        <color theme="1" tint="4.9989318521683403E-2"/>
      </top>
      <bottom style="thin">
        <color indexed="64"/>
      </bottom>
      <diagonal/>
    </border>
  </borders>
  <cellStyleXfs count="2">
    <xf numFmtId="0" fontId="0" fillId="0" borderId="0"/>
    <xf numFmtId="38" fontId="8" fillId="0" borderId="0" applyFont="0" applyFill="0" applyBorder="0" applyAlignment="0" applyProtection="0">
      <alignment vertical="center"/>
    </xf>
  </cellStyleXfs>
  <cellXfs count="85">
    <xf numFmtId="0" fontId="0" fillId="0" borderId="0" xfId="0"/>
    <xf numFmtId="0" fontId="2" fillId="0" borderId="0" xfId="0" applyFont="1" applyBorder="1"/>
    <xf numFmtId="0" fontId="2" fillId="0" borderId="0" xfId="0" applyFont="1"/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177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horizontal="left" vertical="center"/>
    </xf>
    <xf numFmtId="176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2" fillId="0" borderId="3" xfId="0" applyFont="1" applyBorder="1" applyAlignment="1">
      <alignment horizontal="center"/>
    </xf>
    <xf numFmtId="176" fontId="2" fillId="0" borderId="0" xfId="0" applyNumberFormat="1" applyFont="1" applyAlignment="1">
      <alignment vertical="center"/>
    </xf>
    <xf numFmtId="0" fontId="2" fillId="0" borderId="6" xfId="0" applyFont="1" applyBorder="1" applyAlignment="1">
      <alignment horizontal="left" vertical="center" wrapText="1"/>
    </xf>
    <xf numFmtId="176" fontId="2" fillId="0" borderId="3" xfId="0" applyNumberFormat="1" applyFont="1" applyBorder="1" applyAlignment="1">
      <alignment horizontal="center" vertical="center"/>
    </xf>
    <xf numFmtId="0" fontId="2" fillId="0" borderId="6" xfId="0" applyFont="1" applyBorder="1"/>
    <xf numFmtId="0" fontId="2" fillId="0" borderId="5" xfId="0" applyFont="1" applyBorder="1"/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/>
    <xf numFmtId="176" fontId="5" fillId="0" borderId="0" xfId="0" applyNumberFormat="1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176" fontId="2" fillId="0" borderId="6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176" fontId="2" fillId="0" borderId="3" xfId="0" applyNumberFormat="1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76" fontId="7" fillId="0" borderId="5" xfId="0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176" fontId="6" fillId="0" borderId="0" xfId="0" applyNumberFormat="1" applyFont="1" applyAlignment="1">
      <alignment horizontal="right"/>
    </xf>
    <xf numFmtId="176" fontId="6" fillId="0" borderId="0" xfId="0" applyNumberFormat="1" applyFont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77" fontId="2" fillId="0" borderId="0" xfId="0" applyNumberFormat="1" applyFont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8" fontId="2" fillId="0" borderId="0" xfId="1" applyNumberFormat="1" applyFont="1" applyBorder="1" applyAlignment="1">
      <alignment horizontal="center" vertical="center"/>
    </xf>
    <xf numFmtId="178" fontId="2" fillId="0" borderId="3" xfId="1" applyNumberFormat="1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16180256704189"/>
          <c:y val="3.1793867230010882E-2"/>
          <c:w val="0.81985379512525147"/>
          <c:h val="0.82897978607766321"/>
        </c:manualLayout>
      </c:layout>
      <c:scatterChart>
        <c:scatterStyle val="lineMarker"/>
        <c:varyColors val="0"/>
        <c:ser>
          <c:idx val="0"/>
          <c:order val="0"/>
          <c:tx>
            <c:v>針(＋)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0.25"/>
            <c:backward val="0.25"/>
            <c:dispRSqr val="0"/>
            <c:dispEq val="0"/>
          </c:trendline>
          <c:xVal>
            <c:numRef>
              <c:f>気中火花!$B$43:$B$47</c:f>
              <c:numCache>
                <c:formatCode>0.0</c:formatCode>
                <c:ptCount val="5"/>
                <c:pt idx="0">
                  <c:v>0.4</c:v>
                </c:pt>
                <c:pt idx="1">
                  <c:v>0.7</c:v>
                </c:pt>
                <c:pt idx="2">
                  <c:v>1</c:v>
                </c:pt>
                <c:pt idx="3">
                  <c:v>1.3</c:v>
                </c:pt>
                <c:pt idx="4">
                  <c:v>1.6</c:v>
                </c:pt>
              </c:numCache>
            </c:numRef>
          </c:xVal>
          <c:yVal>
            <c:numRef>
              <c:f>気中火花!$L$43:$L$47</c:f>
              <c:numCache>
                <c:formatCode>0.0</c:formatCode>
                <c:ptCount val="5"/>
                <c:pt idx="0">
                  <c:v>6.3000000000000007</c:v>
                </c:pt>
                <c:pt idx="1">
                  <c:v>7.0500000000000007</c:v>
                </c:pt>
                <c:pt idx="2">
                  <c:v>10.65</c:v>
                </c:pt>
                <c:pt idx="3">
                  <c:v>14.85</c:v>
                </c:pt>
                <c:pt idx="4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4D-493C-B5F8-A73301E252D2}"/>
            </c:ext>
          </c:extLst>
        </c:ser>
        <c:ser>
          <c:idx val="3"/>
          <c:order val="1"/>
          <c:tx>
            <c:v>針(－)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0.25"/>
            <c:backward val="0.25"/>
            <c:dispRSqr val="0"/>
            <c:dispEq val="0"/>
          </c:trendline>
          <c:xVal>
            <c:numRef>
              <c:f>気中火花!$B$43:$B$47</c:f>
              <c:numCache>
                <c:formatCode>0.0</c:formatCode>
                <c:ptCount val="5"/>
                <c:pt idx="0">
                  <c:v>0.4</c:v>
                </c:pt>
                <c:pt idx="1">
                  <c:v>0.7</c:v>
                </c:pt>
                <c:pt idx="2">
                  <c:v>1</c:v>
                </c:pt>
                <c:pt idx="3">
                  <c:v>1.3</c:v>
                </c:pt>
                <c:pt idx="4">
                  <c:v>1.6</c:v>
                </c:pt>
              </c:numCache>
            </c:numRef>
          </c:xVal>
          <c:yVal>
            <c:numRef>
              <c:f>気中火花!$V$43:$V$47</c:f>
              <c:numCache>
                <c:formatCode>0.0</c:formatCode>
                <c:ptCount val="5"/>
                <c:pt idx="0">
                  <c:v>7.2</c:v>
                </c:pt>
                <c:pt idx="1">
                  <c:v>12.55</c:v>
                </c:pt>
                <c:pt idx="2">
                  <c:v>18.399999999999999</c:v>
                </c:pt>
                <c:pt idx="3">
                  <c:v>25</c:v>
                </c:pt>
                <c:pt idx="4">
                  <c:v>31.95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4D-493C-B5F8-A73301E25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432528"/>
        <c:axId val="221476352"/>
      </c:scatterChart>
      <c:valAx>
        <c:axId val="359432528"/>
        <c:scaling>
          <c:orientation val="minMax"/>
          <c:max val="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9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ギャップ長</a:t>
                </a:r>
                <a:r>
                  <a:rPr lang="en-US" altLang="ja-JP" sz="900" i="1">
                    <a:latin typeface="游明朝" panose="02020400000000000000" pitchFamily="18" charset="-128"/>
                    <a:ea typeface="游明朝" panose="02020400000000000000" pitchFamily="18" charset="-128"/>
                  </a:rPr>
                  <a:t>d</a:t>
                </a:r>
                <a:r>
                  <a:rPr lang="ja-JP" altLang="en-US" sz="9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 </a:t>
                </a:r>
                <a:r>
                  <a:rPr lang="en-US" altLang="ja-JP" sz="9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[cm]</a:t>
                </a:r>
                <a:endParaRPr lang="ja-JP" altLang="en-US" sz="900">
                  <a:latin typeface="游明朝" panose="02020400000000000000" pitchFamily="18" charset="-128"/>
                  <a:ea typeface="游明朝" panose="02020400000000000000" pitchFamily="18" charset="-128"/>
                </a:endParaRPr>
              </a:p>
            </c:rich>
          </c:tx>
          <c:layout>
            <c:manualLayout>
              <c:xMode val="edge"/>
              <c:yMode val="edge"/>
              <c:x val="0.41793296124380636"/>
              <c:y val="0.93900108827859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游明朝" panose="02020400000000000000" pitchFamily="18" charset="-128"/>
                <a:ea typeface="游明朝" panose="02020400000000000000" pitchFamily="18" charset="-128"/>
                <a:cs typeface="+mn-cs"/>
              </a:defRPr>
            </a:pPr>
            <a:endParaRPr lang="ja-JP"/>
          </a:p>
        </c:txPr>
        <c:crossAx val="221476352"/>
        <c:crosses val="autoZero"/>
        <c:crossBetween val="midCat"/>
        <c:majorUnit val="0.5"/>
      </c:valAx>
      <c:valAx>
        <c:axId val="221476352"/>
        <c:scaling>
          <c:orientation val="minMax"/>
          <c:max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50">
                    <a:latin typeface="游明朝" panose="02020400000000000000" pitchFamily="18" charset="-128"/>
                    <a:ea typeface="游明朝" panose="02020400000000000000" pitchFamily="18" charset="-128"/>
                  </a:rPr>
                  <a:t>破壊電圧</a:t>
                </a:r>
                <a:r>
                  <a:rPr lang="en-US" altLang="ja-JP" sz="1050" i="1">
                    <a:latin typeface="游明朝" panose="02020400000000000000" pitchFamily="18" charset="-128"/>
                    <a:ea typeface="游明朝" panose="02020400000000000000" pitchFamily="18" charset="-128"/>
                  </a:rPr>
                  <a:t>V</a:t>
                </a:r>
                <a:r>
                  <a:rPr lang="en-US" altLang="ja-JP" sz="1050" i="1" baseline="-250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s</a:t>
                </a:r>
                <a:r>
                  <a:rPr lang="ja-JP" altLang="en-US" sz="1050">
                    <a:latin typeface="游明朝" panose="02020400000000000000" pitchFamily="18" charset="-128"/>
                    <a:ea typeface="游明朝" panose="02020400000000000000" pitchFamily="18" charset="-128"/>
                  </a:rPr>
                  <a:t> </a:t>
                </a:r>
                <a:r>
                  <a:rPr lang="en-US" altLang="ja-JP" sz="1050">
                    <a:latin typeface="游明朝" panose="02020400000000000000" pitchFamily="18" charset="-128"/>
                    <a:ea typeface="游明朝" panose="02020400000000000000" pitchFamily="18" charset="-128"/>
                  </a:rPr>
                  <a:t>[kV]</a:t>
                </a:r>
                <a:endParaRPr lang="ja-JP" altLang="en-US" sz="1050">
                  <a:latin typeface="游明朝" panose="02020400000000000000" pitchFamily="18" charset="-128"/>
                  <a:ea typeface="游明朝" panose="02020400000000000000" pitchFamily="18" charset="-128"/>
                </a:endParaRPr>
              </a:p>
            </c:rich>
          </c:tx>
          <c:layout>
            <c:manualLayout>
              <c:xMode val="edge"/>
              <c:yMode val="edge"/>
              <c:x val="2.8669685978990095E-3"/>
              <c:y val="0.31448690864861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游明朝" panose="02020400000000000000" pitchFamily="18" charset="-128"/>
                <a:ea typeface="游明朝" panose="02020400000000000000" pitchFamily="18" charset="-128"/>
                <a:cs typeface="+mn-cs"/>
              </a:defRPr>
            </a:pPr>
            <a:endParaRPr lang="ja-JP"/>
          </a:p>
        </c:txPr>
        <c:crossAx val="359432528"/>
        <c:crosses val="autoZero"/>
        <c:crossBetween val="midCat"/>
        <c:majorUnit val="1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4319153800809101"/>
          <c:y val="0.72082690158779661"/>
          <c:w val="0.18123892777578748"/>
          <c:h val="9.72812556846235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游明朝" panose="02020400000000000000" pitchFamily="18" charset="-128"/>
              <a:ea typeface="游明朝" panose="02020400000000000000" pitchFamily="18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689286452558586"/>
          <c:y val="3.5045794090782408E-2"/>
          <c:w val="0.82621815471156812"/>
          <c:h val="0.82897978607766321"/>
        </c:manualLayout>
      </c:layout>
      <c:scatterChart>
        <c:scatterStyle val="lineMarker"/>
        <c:varyColors val="0"/>
        <c:ser>
          <c:idx val="0"/>
          <c:order val="0"/>
          <c:tx>
            <c:v>平板 － 平板（実験式）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>
                    <a:lumMod val="95000"/>
                    <a:lumOff val="5000"/>
                  </a:schemeClr>
                </a:solidFill>
                <a:prstDash val="solid"/>
              </a:ln>
              <a:effectLst/>
            </c:spPr>
            <c:trendlineType val="linear"/>
            <c:forward val="0.1"/>
            <c:backward val="0.35000000000000003"/>
            <c:dispRSqr val="0"/>
            <c:dispEq val="0"/>
          </c:trendline>
          <c:xVal>
            <c:numRef>
              <c:f>気中火花!$B$10:$B$14</c:f>
              <c:numCache>
                <c:formatCode>0.0</c:formatCode>
                <c:ptCount val="5"/>
                <c:pt idx="0">
                  <c:v>0.4</c:v>
                </c:pt>
                <c:pt idx="1">
                  <c:v>0.7</c:v>
                </c:pt>
                <c:pt idx="2">
                  <c:v>1</c:v>
                </c:pt>
                <c:pt idx="3">
                  <c:v>1.3</c:v>
                </c:pt>
                <c:pt idx="4">
                  <c:v>1.6</c:v>
                </c:pt>
              </c:numCache>
            </c:numRef>
          </c:xVal>
          <c:yVal>
            <c:numRef>
              <c:f>気中火花!$F$10:$F$14</c:f>
              <c:numCache>
                <c:formatCode>0.0</c:formatCode>
                <c:ptCount val="5"/>
                <c:pt idx="0">
                  <c:v>14.029600471510657</c:v>
                </c:pt>
                <c:pt idx="1">
                  <c:v>22.474165995050448</c:v>
                </c:pt>
                <c:pt idx="2">
                  <c:v>30.604440978417664</c:v>
                </c:pt>
                <c:pt idx="3">
                  <c:v>38.556556564959713</c:v>
                </c:pt>
                <c:pt idx="4">
                  <c:v>46.389924186264558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70-41AC-8F75-8A8B09CF3E73}"/>
            </c:ext>
          </c:extLst>
        </c:ser>
        <c:ser>
          <c:idx val="3"/>
          <c:order val="1"/>
          <c:tx>
            <c:v>平板 － 平板（実験結果）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>
                    <a:lumMod val="95000"/>
                    <a:lumOff val="5000"/>
                  </a:schemeClr>
                </a:solidFill>
                <a:prstDash val="solid"/>
              </a:ln>
              <a:effectLst/>
            </c:spPr>
            <c:trendlineType val="linear"/>
            <c:forward val="0.1"/>
            <c:backward val="0.35000000000000003"/>
            <c:dispRSqr val="0"/>
            <c:dispEq val="0"/>
          </c:trendline>
          <c:xVal>
            <c:numRef>
              <c:f>気中火花!$B$10:$B$14</c:f>
              <c:numCache>
                <c:formatCode>0.0</c:formatCode>
                <c:ptCount val="5"/>
                <c:pt idx="0">
                  <c:v>0.4</c:v>
                </c:pt>
                <c:pt idx="1">
                  <c:v>0.7</c:v>
                </c:pt>
                <c:pt idx="2">
                  <c:v>1</c:v>
                </c:pt>
                <c:pt idx="3">
                  <c:v>1.3</c:v>
                </c:pt>
                <c:pt idx="4">
                  <c:v>1.6</c:v>
                </c:pt>
              </c:numCache>
            </c:numRef>
          </c:xVal>
          <c:yVal>
            <c:numRef>
              <c:f>気中火花!$O$10:$O$14</c:f>
              <c:numCache>
                <c:formatCode>0.0</c:formatCode>
                <c:ptCount val="5"/>
                <c:pt idx="0">
                  <c:v>13.45</c:v>
                </c:pt>
                <c:pt idx="1">
                  <c:v>21.1</c:v>
                </c:pt>
                <c:pt idx="2">
                  <c:v>29.95</c:v>
                </c:pt>
                <c:pt idx="3">
                  <c:v>37.650000000000006</c:v>
                </c:pt>
                <c:pt idx="4">
                  <c:v>46.45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70-41AC-8F75-8A8B09CF3E73}"/>
            </c:ext>
          </c:extLst>
        </c:ser>
        <c:ser>
          <c:idx val="1"/>
          <c:order val="2"/>
          <c:tx>
            <c:v>球 － 球（実験式）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5.000000000000001E-2"/>
            <c:backward val="0.35000000000000003"/>
            <c:dispRSqr val="0"/>
            <c:dispEq val="0"/>
          </c:trendline>
          <c:xVal>
            <c:numRef>
              <c:f>気中火花!$B$21:$B$25</c:f>
              <c:numCache>
                <c:formatCode>0.0</c:formatCode>
                <c:ptCount val="5"/>
                <c:pt idx="0">
                  <c:v>0.4</c:v>
                </c:pt>
                <c:pt idx="1">
                  <c:v>0.7</c:v>
                </c:pt>
                <c:pt idx="2">
                  <c:v>1</c:v>
                </c:pt>
                <c:pt idx="3">
                  <c:v>1.3</c:v>
                </c:pt>
                <c:pt idx="4">
                  <c:v>1.6</c:v>
                </c:pt>
              </c:numCache>
            </c:numRef>
          </c:xVal>
          <c:yVal>
            <c:numRef>
              <c:f>気中火花!$F$21:$F$25</c:f>
              <c:numCache>
                <c:formatCode>0.0</c:formatCode>
                <c:ptCount val="5"/>
                <c:pt idx="0">
                  <c:v>12.981121445902165</c:v>
                </c:pt>
                <c:pt idx="1">
                  <c:v>22.276632930096419</c:v>
                </c:pt>
                <c:pt idx="2">
                  <c:v>31.213842250242013</c:v>
                </c:pt>
                <c:pt idx="3">
                  <c:v>39.808852351809662</c:v>
                </c:pt>
                <c:pt idx="4">
                  <c:v>48.076824378541332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70-41AC-8F75-8A8B09CF3E73}"/>
            </c:ext>
          </c:extLst>
        </c:ser>
        <c:ser>
          <c:idx val="4"/>
          <c:order val="3"/>
          <c:tx>
            <c:v>球 － 球（実験結果）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>
                    <a:lumMod val="95000"/>
                    <a:lumOff val="5000"/>
                  </a:schemeClr>
                </a:solidFill>
                <a:prstDash val="solid"/>
              </a:ln>
              <a:effectLst/>
            </c:spPr>
            <c:trendlineType val="linear"/>
            <c:forward val="0.1"/>
            <c:backward val="0.35000000000000003"/>
            <c:dispRSqr val="0"/>
            <c:dispEq val="0"/>
          </c:trendline>
          <c:xVal>
            <c:numRef>
              <c:f>気中火花!$B$21:$B$25</c:f>
              <c:numCache>
                <c:formatCode>0.0</c:formatCode>
                <c:ptCount val="5"/>
                <c:pt idx="0">
                  <c:v>0.4</c:v>
                </c:pt>
                <c:pt idx="1">
                  <c:v>0.7</c:v>
                </c:pt>
                <c:pt idx="2">
                  <c:v>1</c:v>
                </c:pt>
                <c:pt idx="3">
                  <c:v>1.3</c:v>
                </c:pt>
                <c:pt idx="4">
                  <c:v>1.6</c:v>
                </c:pt>
              </c:numCache>
            </c:numRef>
          </c:xVal>
          <c:yVal>
            <c:numRef>
              <c:f>気中火花!$O$21:$O$25</c:f>
              <c:numCache>
                <c:formatCode>0.0</c:formatCode>
                <c:ptCount val="5"/>
                <c:pt idx="0">
                  <c:v>14.25</c:v>
                </c:pt>
                <c:pt idx="1">
                  <c:v>20.100000000000001</c:v>
                </c:pt>
                <c:pt idx="2">
                  <c:v>30.85</c:v>
                </c:pt>
                <c:pt idx="3">
                  <c:v>38.5</c:v>
                </c:pt>
                <c:pt idx="4">
                  <c:v>45.45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770-41AC-8F75-8A8B09CF3E73}"/>
            </c:ext>
          </c:extLst>
        </c:ser>
        <c:ser>
          <c:idx val="2"/>
          <c:order val="4"/>
          <c:tx>
            <c:v>針 － 針（実験式）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>
                    <a:lumMod val="95000"/>
                    <a:lumOff val="5000"/>
                  </a:schemeClr>
                </a:solidFill>
                <a:prstDash val="solid"/>
              </a:ln>
              <a:effectLst/>
            </c:spPr>
            <c:trendlineType val="linear"/>
            <c:backward val="0.8"/>
            <c:dispRSqr val="0"/>
            <c:dispEq val="0"/>
          </c:trendline>
          <c:xVal>
            <c:numRef>
              <c:f>気中火花!$B$32:$B$36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気中火花!$F$32:$F$36</c:f>
              <c:numCache>
                <c:formatCode>0.0</c:formatCode>
                <c:ptCount val="5"/>
                <c:pt idx="0">
                  <c:v>22.879795135135129</c:v>
                </c:pt>
                <c:pt idx="1">
                  <c:v>27.776325405405398</c:v>
                </c:pt>
                <c:pt idx="2">
                  <c:v>32.67285567567567</c:v>
                </c:pt>
                <c:pt idx="3">
                  <c:v>37.569385945945939</c:v>
                </c:pt>
                <c:pt idx="4">
                  <c:v>42.465916216216208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770-41AC-8F75-8A8B09CF3E73}"/>
            </c:ext>
          </c:extLst>
        </c:ser>
        <c:ser>
          <c:idx val="5"/>
          <c:order val="5"/>
          <c:tx>
            <c:v>針 － 針（実験結果）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 cmpd="sng">
                <a:solidFill>
                  <a:schemeClr val="tx1"/>
                </a:solidFill>
                <a:prstDash val="solid"/>
              </a:ln>
              <a:effectLst/>
            </c:spPr>
            <c:trendlineType val="poly"/>
            <c:order val="2"/>
            <c:backward val="0.60000000000000009"/>
            <c:dispRSqr val="0"/>
            <c:dispEq val="0"/>
          </c:trendline>
          <c:xVal>
            <c:numRef>
              <c:f>気中火花!$B$32:$B$36</c:f>
              <c:numCache>
                <c:formatCode>0.0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気中火花!$O$32:$O$36</c:f>
              <c:numCache>
                <c:formatCode>0.0</c:formatCode>
                <c:ptCount val="5"/>
                <c:pt idx="0">
                  <c:v>8.8999999999999986</c:v>
                </c:pt>
                <c:pt idx="1">
                  <c:v>21.5</c:v>
                </c:pt>
                <c:pt idx="2">
                  <c:v>31.15</c:v>
                </c:pt>
                <c:pt idx="3">
                  <c:v>40.349999999999994</c:v>
                </c:pt>
                <c:pt idx="4">
                  <c:v>48.05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770-41AC-8F75-8A8B09CF3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432528"/>
        <c:axId val="221476352"/>
      </c:scatterChart>
      <c:valAx>
        <c:axId val="359432528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ギャップ長</a:t>
                </a:r>
                <a:r>
                  <a:rPr lang="en-US" altLang="ja-JP" sz="1000" i="1">
                    <a:latin typeface="游明朝" panose="02020400000000000000" pitchFamily="18" charset="-128"/>
                    <a:ea typeface="游明朝" panose="02020400000000000000" pitchFamily="18" charset="-128"/>
                  </a:rPr>
                  <a:t>d</a:t>
                </a:r>
                <a:r>
                  <a:rPr lang="ja-JP" altLang="en-US" sz="10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 </a:t>
                </a:r>
                <a:r>
                  <a:rPr lang="en-US" altLang="ja-JP" sz="10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[cm]</a:t>
                </a:r>
                <a:endParaRPr lang="ja-JP" altLang="en-US" sz="1000">
                  <a:latin typeface="游明朝" panose="02020400000000000000" pitchFamily="18" charset="-128"/>
                  <a:ea typeface="游明朝" panose="02020400000000000000" pitchFamily="18" charset="-128"/>
                </a:endParaRPr>
              </a:p>
            </c:rich>
          </c:tx>
          <c:layout>
            <c:manualLayout>
              <c:xMode val="edge"/>
              <c:yMode val="edge"/>
              <c:x val="0.43443970458346648"/>
              <c:y val="0.93356737724857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游明朝" panose="02020400000000000000" pitchFamily="18" charset="-128"/>
                <a:ea typeface="游明朝" panose="02020400000000000000" pitchFamily="18" charset="-128"/>
                <a:cs typeface="+mn-cs"/>
              </a:defRPr>
            </a:pPr>
            <a:endParaRPr lang="ja-JP"/>
          </a:p>
        </c:txPr>
        <c:crossAx val="221476352"/>
        <c:crosses val="autoZero"/>
        <c:crossBetween val="midCat"/>
      </c:valAx>
      <c:valAx>
        <c:axId val="221476352"/>
        <c:scaling>
          <c:orientation val="minMax"/>
          <c:max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破壊電圧</a:t>
                </a:r>
                <a:r>
                  <a:rPr lang="en-US" altLang="ja-JP" sz="1000" i="1">
                    <a:latin typeface="游明朝" panose="02020400000000000000" pitchFamily="18" charset="-128"/>
                    <a:ea typeface="游明朝" panose="02020400000000000000" pitchFamily="18" charset="-128"/>
                  </a:rPr>
                  <a:t>V</a:t>
                </a:r>
                <a:r>
                  <a:rPr lang="en-US" altLang="ja-JP" sz="1000" i="1" baseline="-250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s</a:t>
                </a:r>
                <a:r>
                  <a:rPr lang="ja-JP" altLang="en-US" sz="10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 </a:t>
                </a:r>
                <a:r>
                  <a:rPr lang="en-US" altLang="ja-JP" sz="10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[kV]</a:t>
                </a:r>
                <a:endParaRPr lang="ja-JP" altLang="en-US" sz="1000">
                  <a:latin typeface="游明朝" panose="02020400000000000000" pitchFamily="18" charset="-128"/>
                  <a:ea typeface="游明朝" panose="02020400000000000000" pitchFamily="18" charset="-128"/>
                </a:endParaRPr>
              </a:p>
            </c:rich>
          </c:tx>
          <c:layout>
            <c:manualLayout>
              <c:xMode val="edge"/>
              <c:yMode val="edge"/>
              <c:x val="7.9905286302219371E-4"/>
              <c:y val="0.320454516356187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游明朝" panose="02020400000000000000" pitchFamily="18" charset="-128"/>
                <a:ea typeface="游明朝" panose="02020400000000000000" pitchFamily="18" charset="-128"/>
                <a:cs typeface="+mn-cs"/>
              </a:defRPr>
            </a:pPr>
            <a:endParaRPr lang="ja-JP"/>
          </a:p>
        </c:txPr>
        <c:crossAx val="359432528"/>
        <c:crosses val="autoZero"/>
        <c:crossBetween val="midCat"/>
        <c:majorUnit val="1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54083400672767934"/>
          <c:y val="0.537444992273162"/>
          <c:w val="0.40941474201166383"/>
          <c:h val="0.30398925601589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游明朝" panose="02020400000000000000" pitchFamily="18" charset="-128"/>
              <a:ea typeface="游明朝" panose="02020400000000000000" pitchFamily="18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16426071741032"/>
          <c:y val="3.5045794090782408E-2"/>
          <c:w val="0.83894685039370065"/>
          <c:h val="0.8289797860776632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0.25"/>
            <c:backward val="0.25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碍子インパルス!$C$4:$C$5</c:f>
              <c:numCache>
                <c:formatCode>0.0</c:formatCode>
                <c:ptCount val="2"/>
                <c:pt idx="0">
                  <c:v>92.044799999999995</c:v>
                </c:pt>
                <c:pt idx="1">
                  <c:v>93.398399999999995</c:v>
                </c:pt>
              </c:numCache>
            </c:numRef>
          </c:xVal>
          <c:yVal>
            <c:numRef>
              <c:f>碍子インパルス!$Z$4:$Z$5</c:f>
              <c:numCache>
                <c:formatCode>0</c:formatCode>
                <c:ptCount val="2"/>
                <c:pt idx="0">
                  <c:v>30</c:v>
                </c:pt>
                <c:pt idx="1">
                  <c:v>80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針(＋) － 平板</c:v>
                </c15:tx>
              </c15:filteredSeriesTitle>
            </c:ext>
            <c:ext xmlns:c16="http://schemas.microsoft.com/office/drawing/2014/chart" uri="{C3380CC4-5D6E-409C-BE32-E72D297353CC}">
              <c16:uniqueId val="{00000001-E1C4-4CCF-A1BA-14A614907C3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碍子インパルス!$P$8</c:f>
              <c:numCache>
                <c:formatCode>0.0</c:formatCode>
                <c:ptCount val="1"/>
                <c:pt idx="0">
                  <c:v>92.586240000000004</c:v>
                </c:pt>
              </c:numCache>
            </c:numRef>
          </c:xVal>
          <c:yVal>
            <c:numRef>
              <c:f>碍子インパルス!$D$8</c:f>
              <c:numCache>
                <c:formatCode>General</c:formatCode>
                <c:ptCount val="1"/>
                <c:pt idx="0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C4-4CCF-A1BA-14A614907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432528"/>
        <c:axId val="221476352"/>
      </c:scatterChart>
      <c:valAx>
        <c:axId val="359432528"/>
        <c:scaling>
          <c:orientation val="minMax"/>
          <c:max val="94"/>
          <c:min val="9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50">
                    <a:latin typeface="游明朝" panose="02020400000000000000" pitchFamily="18" charset="-128"/>
                    <a:ea typeface="游明朝" panose="02020400000000000000" pitchFamily="18" charset="-128"/>
                  </a:rPr>
                  <a:t>インパルス電圧</a:t>
                </a:r>
                <a:r>
                  <a:rPr lang="en-US" altLang="ja-JP" sz="1050" i="1">
                    <a:latin typeface="游明朝" panose="02020400000000000000" pitchFamily="18" charset="-128"/>
                    <a:ea typeface="游明朝" panose="02020400000000000000" pitchFamily="18" charset="-128"/>
                  </a:rPr>
                  <a:t>V</a:t>
                </a:r>
                <a:r>
                  <a:rPr lang="en-US" altLang="ja-JP" sz="1050" i="1" baseline="-250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o</a:t>
                </a:r>
                <a:r>
                  <a:rPr lang="ja-JP" altLang="en-US" sz="1050">
                    <a:latin typeface="游明朝" panose="02020400000000000000" pitchFamily="18" charset="-128"/>
                    <a:ea typeface="游明朝" panose="02020400000000000000" pitchFamily="18" charset="-128"/>
                  </a:rPr>
                  <a:t> </a:t>
                </a:r>
                <a:r>
                  <a:rPr lang="en-US" altLang="ja-JP" sz="1050">
                    <a:latin typeface="游明朝" panose="02020400000000000000" pitchFamily="18" charset="-128"/>
                    <a:ea typeface="游明朝" panose="02020400000000000000" pitchFamily="18" charset="-128"/>
                  </a:rPr>
                  <a:t>[kV]</a:t>
                </a:r>
                <a:endParaRPr lang="ja-JP" altLang="en-US" sz="1050">
                  <a:latin typeface="游明朝" panose="02020400000000000000" pitchFamily="18" charset="-128"/>
                  <a:ea typeface="游明朝" panose="02020400000000000000" pitchFamily="18" charset="-12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游明朝" panose="02020400000000000000" pitchFamily="18" charset="-128"/>
                <a:ea typeface="游明朝" panose="02020400000000000000" pitchFamily="18" charset="-128"/>
                <a:cs typeface="+mn-cs"/>
              </a:defRPr>
            </a:pPr>
            <a:endParaRPr lang="ja-JP"/>
          </a:p>
        </c:txPr>
        <c:crossAx val="221476352"/>
        <c:crosses val="autoZero"/>
        <c:crossBetween val="midCat"/>
        <c:majorUnit val="0.5"/>
      </c:valAx>
      <c:valAx>
        <c:axId val="221476352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50">
                    <a:latin typeface="游明朝" panose="02020400000000000000" pitchFamily="18" charset="-128"/>
                    <a:ea typeface="游明朝" panose="02020400000000000000" pitchFamily="18" charset="-128"/>
                  </a:rPr>
                  <a:t>放電率</a:t>
                </a:r>
                <a:r>
                  <a:rPr lang="en-US" altLang="ja-JP" sz="1050" i="1">
                    <a:latin typeface="游明朝" panose="02020400000000000000" pitchFamily="18" charset="-128"/>
                    <a:ea typeface="游明朝" panose="02020400000000000000" pitchFamily="18" charset="-128"/>
                  </a:rPr>
                  <a:t>p</a:t>
                </a:r>
                <a:r>
                  <a:rPr lang="ja-JP" altLang="en-US" sz="1050">
                    <a:latin typeface="游明朝" panose="02020400000000000000" pitchFamily="18" charset="-128"/>
                    <a:ea typeface="游明朝" panose="02020400000000000000" pitchFamily="18" charset="-128"/>
                  </a:rPr>
                  <a:t> </a:t>
                </a:r>
                <a:r>
                  <a:rPr lang="en-US" altLang="ja-JP" sz="1050">
                    <a:latin typeface="游明朝" panose="02020400000000000000" pitchFamily="18" charset="-128"/>
                    <a:ea typeface="游明朝" panose="02020400000000000000" pitchFamily="18" charset="-128"/>
                  </a:rPr>
                  <a:t>[%]</a:t>
                </a:r>
                <a:endParaRPr lang="ja-JP" altLang="en-US" sz="1050">
                  <a:latin typeface="游明朝" panose="02020400000000000000" pitchFamily="18" charset="-128"/>
                  <a:ea typeface="游明朝" panose="02020400000000000000" pitchFamily="18" charset="-12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游明朝" panose="02020400000000000000" pitchFamily="18" charset="-128"/>
                <a:ea typeface="游明朝" panose="02020400000000000000" pitchFamily="18" charset="-128"/>
                <a:cs typeface="+mn-cs"/>
              </a:defRPr>
            </a:pPr>
            <a:endParaRPr lang="ja-JP"/>
          </a:p>
        </c:txPr>
        <c:crossAx val="359432528"/>
        <c:crosses val="autoZero"/>
        <c:crossBetween val="midCat"/>
        <c:majorUnit val="1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66417910447761197"/>
          <c:y val="0.68782362204724412"/>
          <c:w val="0.22091334665256396"/>
          <c:h val="5.0177402523479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游明朝" panose="02020400000000000000" pitchFamily="18" charset="-128"/>
              <a:ea typeface="游明朝" panose="02020400000000000000" pitchFamily="18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958112215029228"/>
          <c:y val="3.504579999789182E-2"/>
          <c:w val="0.81423637757099232"/>
          <c:h val="0.8289797860776632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0.52"/>
            <c:backward val="0.78"/>
            <c:dispRSqr val="0"/>
            <c:dispEq val="0"/>
          </c:trendline>
          <c:xVal>
            <c:numRef>
              <c:f>碍子インパルス!$C$19:$C$20</c:f>
              <c:numCache>
                <c:formatCode>0.0</c:formatCode>
                <c:ptCount val="2"/>
                <c:pt idx="0">
                  <c:v>92.044799999999995</c:v>
                </c:pt>
                <c:pt idx="1">
                  <c:v>93.398399999999995</c:v>
                </c:pt>
              </c:numCache>
            </c:numRef>
          </c:xVal>
          <c:yVal>
            <c:numRef>
              <c:f>碍子インパルス!$Z$19:$Z$20</c:f>
              <c:numCache>
                <c:formatCode>0</c:formatCode>
                <c:ptCount val="2"/>
                <c:pt idx="0">
                  <c:v>30</c:v>
                </c:pt>
                <c:pt idx="1">
                  <c:v>80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針(＋) － 平板</c:v>
                </c15:tx>
              </c15:filteredSeriesTitle>
            </c:ext>
            <c:ext xmlns:c16="http://schemas.microsoft.com/office/drawing/2014/chart" uri="{C3380CC4-5D6E-409C-BE32-E72D297353CC}">
              <c16:uniqueId val="{00000001-53C2-48BD-977F-671B1B83285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碍子インパルス!$P$8</c:f>
              <c:numCache>
                <c:formatCode>0.0</c:formatCode>
                <c:ptCount val="1"/>
                <c:pt idx="0">
                  <c:v>92.586240000000004</c:v>
                </c:pt>
              </c:numCache>
            </c:numRef>
          </c:xVal>
          <c:yVal>
            <c:numRef>
              <c:f>碍子インパルス!$D$8</c:f>
              <c:numCache>
                <c:formatCode>General</c:formatCode>
                <c:ptCount val="1"/>
                <c:pt idx="0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C2-48BD-977F-671B1B832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432528"/>
        <c:axId val="221476352"/>
      </c:scatterChart>
      <c:valAx>
        <c:axId val="359432528"/>
        <c:scaling>
          <c:orientation val="minMax"/>
          <c:max val="94"/>
          <c:min val="9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インパルス電圧</a:t>
                </a:r>
                <a:r>
                  <a:rPr lang="en-US" altLang="ja-JP" sz="1000" i="1">
                    <a:latin typeface="游明朝" panose="02020400000000000000" pitchFamily="18" charset="-128"/>
                    <a:ea typeface="游明朝" panose="02020400000000000000" pitchFamily="18" charset="-128"/>
                  </a:rPr>
                  <a:t>V</a:t>
                </a:r>
                <a:r>
                  <a:rPr lang="en-US" altLang="ja-JP" sz="1000" i="1" baseline="-250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o</a:t>
                </a:r>
                <a:r>
                  <a:rPr lang="ja-JP" altLang="en-US" sz="10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 </a:t>
                </a:r>
                <a:r>
                  <a:rPr lang="en-US" altLang="ja-JP" sz="10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[kV]</a:t>
                </a:r>
                <a:endParaRPr lang="ja-JP" altLang="en-US" sz="1000">
                  <a:latin typeface="游明朝" panose="02020400000000000000" pitchFamily="18" charset="-128"/>
                  <a:ea typeface="游明朝" panose="02020400000000000000" pitchFamily="18" charset="-128"/>
                </a:endParaRPr>
              </a:p>
            </c:rich>
          </c:tx>
          <c:layout>
            <c:manualLayout>
              <c:xMode val="edge"/>
              <c:yMode val="edge"/>
              <c:x val="0.37734340639852448"/>
              <c:y val="0.935574347037991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游明朝" panose="02020400000000000000" pitchFamily="18" charset="-128"/>
                <a:ea typeface="游明朝" panose="02020400000000000000" pitchFamily="18" charset="-128"/>
                <a:cs typeface="+mn-cs"/>
              </a:defRPr>
            </a:pPr>
            <a:endParaRPr lang="ja-JP"/>
          </a:p>
        </c:txPr>
        <c:crossAx val="221476352"/>
        <c:crosses val="autoZero"/>
        <c:crossBetween val="midCat"/>
        <c:majorUnit val="0.5"/>
      </c:valAx>
      <c:valAx>
        <c:axId val="221476352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放電率</a:t>
                </a:r>
                <a:r>
                  <a:rPr lang="en-US" altLang="ja-JP" sz="1000" i="1">
                    <a:latin typeface="游明朝" panose="02020400000000000000" pitchFamily="18" charset="-128"/>
                    <a:ea typeface="游明朝" panose="02020400000000000000" pitchFamily="18" charset="-128"/>
                  </a:rPr>
                  <a:t>p</a:t>
                </a:r>
                <a:r>
                  <a:rPr lang="ja-JP" altLang="en-US" sz="10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 </a:t>
                </a:r>
                <a:r>
                  <a:rPr lang="en-US" altLang="ja-JP" sz="1000">
                    <a:latin typeface="游明朝" panose="02020400000000000000" pitchFamily="18" charset="-128"/>
                    <a:ea typeface="游明朝" panose="02020400000000000000" pitchFamily="18" charset="-128"/>
                  </a:rPr>
                  <a:t>[%]</a:t>
                </a:r>
                <a:endParaRPr lang="ja-JP" altLang="en-US" sz="1000">
                  <a:latin typeface="游明朝" panose="02020400000000000000" pitchFamily="18" charset="-128"/>
                  <a:ea typeface="游明朝" panose="02020400000000000000" pitchFamily="18" charset="-12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游明朝" panose="02020400000000000000" pitchFamily="18" charset="-128"/>
                <a:ea typeface="游明朝" panose="02020400000000000000" pitchFamily="18" charset="-128"/>
                <a:cs typeface="+mn-cs"/>
              </a:defRPr>
            </a:pPr>
            <a:endParaRPr lang="ja-JP"/>
          </a:p>
        </c:txPr>
        <c:crossAx val="359432528"/>
        <c:crosses val="autoZero"/>
        <c:crossBetween val="midCat"/>
        <c:majorUnit val="10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685799</xdr:colOff>
      <xdr:row>0</xdr:row>
      <xdr:rowOff>228599</xdr:rowOff>
    </xdr:from>
    <xdr:to>
      <xdr:col>13</xdr:col>
      <xdr:colOff>581025</xdr:colOff>
      <xdr:row>27</xdr:row>
      <xdr:rowOff>66675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7449EC3B-9B32-4F57-A8BB-61A2E2B3DF60}"/>
            </a:ext>
          </a:extLst>
        </xdr:cNvPr>
        <xdr:cNvSpPr txBox="1"/>
      </xdr:nvSpPr>
      <xdr:spPr>
        <a:xfrm>
          <a:off x="6648449" y="228599"/>
          <a:ext cx="5381626" cy="6010276"/>
        </a:xfrm>
        <a:prstGeom prst="rect">
          <a:avLst/>
        </a:prstGeom>
        <a:solidFill>
          <a:schemeClr val="lt1"/>
        </a:solidFill>
        <a:ln w="63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50"/>
            <a:t>※</a:t>
          </a:r>
          <a:r>
            <a:rPr kumimoji="1" lang="ja-JP" altLang="en-US" sz="1050"/>
            <a:t>注意</a:t>
          </a:r>
          <a:r>
            <a:rPr kumimoji="1" lang="en-US" altLang="ja-JP" sz="1050"/>
            <a:t>1</a:t>
          </a:r>
        </a:p>
        <a:p>
          <a:r>
            <a:rPr kumimoji="1" lang="en-US" altLang="ja-JP" sz="1050"/>
            <a:t>Word</a:t>
          </a:r>
          <a:r>
            <a:rPr kumimoji="1" lang="ja-JP" altLang="en-US" sz="1050"/>
            <a:t>のレポート見本では，表や図の差し替えは以下の手順で行っています．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少々面倒ですが，整った書式を保持しながら差し替えができます．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削除やコピー等において，選択する場所や範囲を適切に行わないと失敗するので，何回か試してコツを掴んで下さい．</a:t>
          </a:r>
          <a:endParaRPr kumimoji="1" lang="en-US" altLang="ja-JP" sz="1050"/>
        </a:p>
        <a:p>
          <a:endParaRPr kumimoji="1" lang="en-US" altLang="ja-JP" sz="1050"/>
        </a:p>
        <a:p>
          <a:r>
            <a:rPr kumimoji="1" lang="ja-JP" altLang="en-US" sz="1050"/>
            <a:t>〇表</a:t>
          </a:r>
          <a:endParaRPr kumimoji="1" lang="en-US" altLang="ja-JP" sz="1050"/>
        </a:p>
        <a:p>
          <a:r>
            <a:rPr kumimoji="1" lang="ja-JP" altLang="en-US" sz="1050"/>
            <a:t>＜削除＞</a:t>
          </a:r>
          <a:endParaRPr kumimoji="1" lang="en-US" altLang="ja-JP" sz="1050"/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Word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上の差し替えたい表に対して，</a:t>
          </a:r>
          <a:r>
            <a:rPr kumimoji="1" lang="ja-JP" altLang="en-US" sz="1050"/>
            <a:t>表全体をグレーアウトさせて選択した状態にした後，右クリックをして「表の削除」をクリック（表が消える）．</a:t>
          </a:r>
          <a:endParaRPr kumimoji="1" lang="en-US" altLang="ja-JP" sz="1050"/>
        </a:p>
        <a:p>
          <a:r>
            <a:rPr kumimoji="1" lang="ja-JP" altLang="en-US" sz="1050"/>
            <a:t>＜貼り付け＞</a:t>
          </a:r>
          <a:endParaRPr kumimoji="1" lang="en-US" altLang="ja-JP" sz="1050"/>
        </a:p>
        <a:p>
          <a:r>
            <a:rPr kumimoji="1" lang="en-US" altLang="ja-JP" sz="1050"/>
            <a:t>Excel</a:t>
          </a:r>
          <a:r>
            <a:rPr kumimoji="1" lang="ja-JP" altLang="en-US" sz="1050"/>
            <a:t>上のコピーしたい表全体を選択してコピー．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Word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上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の表を貼り付けたい場所を選択して，左上のメニューから</a:t>
          </a:r>
          <a:r>
            <a:rPr kumimoji="1" lang="ja-JP" altLang="en-US" sz="1050"/>
            <a:t>「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貼り付け</a:t>
          </a:r>
          <a:r>
            <a:rPr kumimoji="1" lang="ja-JP" altLang="en-US" sz="1050"/>
            <a:t>」→「形式を選択して貼り付け」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→「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HTML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形式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をクリック（表が貼りつくが左寄せ）．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表全体を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グレーアウトさせて選択した状態にした後，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上側のメニューから「中央寄せ」をクリック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（表が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中央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寄せ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になる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．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※HTML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形式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で貼りつけると、表の内容だけでなく，罫線の書式が返られます．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〇グラフ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＜削除＞</a:t>
          </a:r>
          <a:endParaRPr lang="ja-JP" altLang="ja-JP">
            <a:effectLst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Word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上の差し替えたい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グラフを選択して削除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グラフ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が消える）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．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＜貼り付け＞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上のコピーしたいグラフを選択してコピー．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Word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上のグラフを貼り付けたい場所を選択して，左上のメニューから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に「貼り付け」→「形式を選択して貼り付け」→「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microsoft excel 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グラフ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オブジェクト」をクリック（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グラフ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が貼りつく）．</a:t>
          </a:r>
          <a:endParaRPr lang="ja-JP" altLang="ja-JP" sz="1050">
            <a:effectLst/>
          </a:endParaRPr>
        </a:p>
        <a:p>
          <a:endParaRPr kumimoji="1" lang="ja-JP" altLang="en-US" sz="1050"/>
        </a:p>
      </xdr:txBody>
    </xdr:sp>
    <xdr:clientData/>
  </xdr:twoCellAnchor>
  <xdr:twoCellAnchor>
    <xdr:from>
      <xdr:col>1</xdr:col>
      <xdr:colOff>0</xdr:colOff>
      <xdr:row>14</xdr:row>
      <xdr:rowOff>0</xdr:rowOff>
    </xdr:from>
    <xdr:to>
      <xdr:col>3</xdr:col>
      <xdr:colOff>571500</xdr:colOff>
      <xdr:row>18</xdr:row>
      <xdr:rowOff>9525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DB8AACD-E305-423B-BFEE-0E3985ECDC0A}"/>
            </a:ext>
          </a:extLst>
        </xdr:cNvPr>
        <xdr:cNvSpPr txBox="1"/>
      </xdr:nvSpPr>
      <xdr:spPr>
        <a:xfrm>
          <a:off x="685800" y="3200400"/>
          <a:ext cx="3467100" cy="923925"/>
        </a:xfrm>
        <a:prstGeom prst="rect">
          <a:avLst/>
        </a:prstGeom>
        <a:solidFill>
          <a:schemeClr val="lt1"/>
        </a:solidFill>
        <a:ln w="63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50"/>
            <a:t>※</a:t>
          </a:r>
          <a:r>
            <a:rPr kumimoji="1" lang="ja-JP" altLang="en-US" sz="1050"/>
            <a:t>注意</a:t>
          </a:r>
          <a:r>
            <a:rPr kumimoji="1" lang="en-US" altLang="ja-JP" sz="1050"/>
            <a:t>2</a:t>
          </a:r>
        </a:p>
        <a:p>
          <a:r>
            <a:rPr kumimoji="1" lang="ja-JP" altLang="en-US" sz="1050"/>
            <a:t>自分の抵抗値を計るテスタは，身近な物を使うため，個人で異なると思います．適宜修正して下さい．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32</xdr:row>
      <xdr:rowOff>0</xdr:rowOff>
    </xdr:from>
    <xdr:to>
      <xdr:col>43</xdr:col>
      <xdr:colOff>47626</xdr:colOff>
      <xdr:row>48</xdr:row>
      <xdr:rowOff>190500</xdr:rowOff>
    </xdr:to>
    <xdr:graphicFrame macro="">
      <xdr:nvGraphicFramePr>
        <xdr:cNvPr id="38" name="グラフ 37">
          <a:extLst>
            <a:ext uri="{FF2B5EF4-FFF2-40B4-BE49-F238E27FC236}">
              <a16:creationId xmlns:a16="http://schemas.microsoft.com/office/drawing/2014/main" id="{2DBF40A2-0806-46B1-BE78-B36ADE2E9B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0</xdr:colOff>
      <xdr:row>12</xdr:row>
      <xdr:rowOff>0</xdr:rowOff>
    </xdr:from>
    <xdr:to>
      <xdr:col>43</xdr:col>
      <xdr:colOff>47626</xdr:colOff>
      <xdr:row>28</xdr:row>
      <xdr:rowOff>190500</xdr:rowOff>
    </xdr:to>
    <xdr:graphicFrame macro="">
      <xdr:nvGraphicFramePr>
        <xdr:cNvPr id="41" name="グラフ 40">
          <a:extLst>
            <a:ext uri="{FF2B5EF4-FFF2-40B4-BE49-F238E27FC236}">
              <a16:creationId xmlns:a16="http://schemas.microsoft.com/office/drawing/2014/main" id="{399CC503-D803-4B57-9987-A568BCE35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238124</xdr:colOff>
      <xdr:row>1</xdr:row>
      <xdr:rowOff>0</xdr:rowOff>
    </xdr:from>
    <xdr:to>
      <xdr:col>45</xdr:col>
      <xdr:colOff>123824</xdr:colOff>
      <xdr:row>9</xdr:row>
      <xdr:rowOff>180975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5A195BD8-2B5D-429F-AFCA-0474C9FEE0E7}"/>
            </a:ext>
          </a:extLst>
        </xdr:cNvPr>
        <xdr:cNvSpPr txBox="1"/>
      </xdr:nvSpPr>
      <xdr:spPr>
        <a:xfrm>
          <a:off x="6648449" y="228600"/>
          <a:ext cx="4410075" cy="20097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50"/>
            <a:t>※</a:t>
          </a:r>
          <a:r>
            <a:rPr kumimoji="1" lang="ja-JP" altLang="en-US" sz="1050"/>
            <a:t>注意</a:t>
          </a:r>
          <a:r>
            <a:rPr kumimoji="1" lang="en-US" altLang="ja-JP" sz="1050"/>
            <a:t>3</a:t>
          </a:r>
        </a:p>
        <a:p>
          <a:r>
            <a:rPr kumimoji="1" lang="ja-JP" altLang="en-US" sz="1050"/>
            <a:t>表のレイアウトは、レポートに貼り付けることを前提としており、見やすさを重視してセル結合を多用しています．</a:t>
          </a:r>
          <a:endParaRPr kumimoji="1" lang="en-US" altLang="ja-JP" sz="105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グラフのデータ参照先を変えると，</a:t>
          </a:r>
          <a:r>
            <a:rPr kumimoji="1" lang="ja-JP" altLang="en-US" sz="1050"/>
            <a:t>セル結合の影響で、セルが正しく選択できない場合があります。その際には参照先のセル結合を一旦解除して、正しいセルを選択した後、再度セル結合を行って下さい（参照セルの編集時に正しいセル座標を入力する方法でも</a:t>
          </a:r>
          <a:r>
            <a:rPr kumimoji="1" lang="en-US" altLang="ja-JP" sz="1050"/>
            <a:t>OK</a:t>
          </a:r>
          <a:r>
            <a:rPr kumimoji="1" lang="ja-JP" altLang="en-US" sz="1050"/>
            <a:t>です）．</a:t>
          </a:r>
        </a:p>
      </xdr:txBody>
    </xdr:sp>
    <xdr:clientData/>
  </xdr:twoCellAnchor>
  <xdr:twoCellAnchor>
    <xdr:from>
      <xdr:col>46</xdr:col>
      <xdr:colOff>1</xdr:colOff>
      <xdr:row>14</xdr:row>
      <xdr:rowOff>0</xdr:rowOff>
    </xdr:from>
    <xdr:to>
      <xdr:col>50</xdr:col>
      <xdr:colOff>438150</xdr:colOff>
      <xdr:row>22</xdr:row>
      <xdr:rowOff>180975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B74D5C61-E358-491E-B389-0EB2CD15FB1A}"/>
            </a:ext>
          </a:extLst>
        </xdr:cNvPr>
        <xdr:cNvSpPr txBox="1"/>
      </xdr:nvSpPr>
      <xdr:spPr>
        <a:xfrm>
          <a:off x="11172826" y="3200400"/>
          <a:ext cx="2733674" cy="20097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50"/>
            <a:t>※</a:t>
          </a:r>
          <a:r>
            <a:rPr kumimoji="1" lang="ja-JP" altLang="en-US" sz="1050"/>
            <a:t>注意</a:t>
          </a:r>
          <a:r>
            <a:rPr kumimoji="1" lang="en-US" altLang="ja-JP" sz="1050"/>
            <a:t>4</a:t>
          </a:r>
        </a:p>
        <a:p>
          <a:r>
            <a:rPr kumimoji="1" lang="ja-JP" altLang="en-US" sz="1050"/>
            <a:t>測定範囲外の近似線の予想は，近似線の書式設定で調整しています．適切設定されていない場合，近似線が軸の外にはみ出してグラフのレイアウトが崩れます．その場合は，「前方補外」や「後方補外」の値を調整して，グラフのレイアウトを整えて下さい．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37</xdr:col>
      <xdr:colOff>219075</xdr:colOff>
      <xdr:row>10</xdr:row>
      <xdr:rowOff>180975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D2D75672-CEB3-499F-B1AF-A8F0A657DC7C}"/>
            </a:ext>
          </a:extLst>
        </xdr:cNvPr>
        <xdr:cNvSpPr txBox="1"/>
      </xdr:nvSpPr>
      <xdr:spPr>
        <a:xfrm>
          <a:off x="5143500" y="457200"/>
          <a:ext cx="3495675" cy="20097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50"/>
            <a:t>※</a:t>
          </a:r>
          <a:r>
            <a:rPr kumimoji="1" lang="ja-JP" altLang="en-US" sz="1050"/>
            <a:t>注意</a:t>
          </a:r>
          <a:r>
            <a:rPr kumimoji="1" lang="en-US" altLang="ja-JP" sz="1050"/>
            <a:t>5</a:t>
          </a:r>
        </a:p>
        <a:p>
          <a:r>
            <a:rPr kumimoji="1" lang="ja-JP" altLang="en-US" sz="1050"/>
            <a:t>絶縁油の結果について，レポート見本では</a:t>
          </a:r>
          <a:r>
            <a:rPr kumimoji="1" lang="en-US" altLang="ja-JP" sz="1050"/>
            <a:t>1</a:t>
          </a:r>
          <a:r>
            <a:rPr kumimoji="1" lang="ja-JP" altLang="en-US" sz="1050"/>
            <a:t>回目と</a:t>
          </a:r>
          <a:r>
            <a:rPr kumimoji="1" lang="en-US" altLang="ja-JP" sz="1050"/>
            <a:t>3</a:t>
          </a:r>
          <a:r>
            <a:rPr kumimoji="1" lang="ja-JP" altLang="en-US" sz="1050"/>
            <a:t>回目が</a:t>
          </a:r>
          <a:r>
            <a:rPr kumimoji="1" lang="en-US" altLang="ja-JP" sz="1050"/>
            <a:t>50.1kV</a:t>
          </a:r>
          <a:r>
            <a:rPr kumimoji="1" lang="ja-JP" altLang="en-US" sz="1050"/>
            <a:t>まで耐えたため，注意書きのため「</a:t>
          </a:r>
          <a:r>
            <a:rPr kumimoji="1" lang="en-US" altLang="ja-JP" sz="1050"/>
            <a:t>*</a:t>
          </a:r>
          <a:r>
            <a:rPr kumimoji="1" lang="ja-JP" altLang="en-US" sz="1050"/>
            <a:t>（アスタリスク）」記号を付けていますが，</a:t>
          </a:r>
          <a:r>
            <a:rPr kumimoji="1" lang="en-US" altLang="ja-JP" sz="1050"/>
            <a:t>Excel</a:t>
          </a:r>
          <a:r>
            <a:rPr kumimoji="1" lang="ja-JP" altLang="en-US" sz="1050"/>
            <a:t>の表では計算ができなくなるため．</a:t>
          </a:r>
          <a:r>
            <a:rPr kumimoji="1" lang="en-US" altLang="ja-JP" sz="1050"/>
            <a:t>*</a:t>
          </a:r>
          <a:r>
            <a:rPr kumimoji="1" lang="ja-JP" altLang="en-US" sz="1050"/>
            <a:t>記号を付けていません．</a:t>
          </a:r>
          <a:endParaRPr kumimoji="1" lang="en-US" altLang="ja-JP" sz="1050"/>
        </a:p>
        <a:p>
          <a:r>
            <a:rPr kumimoji="1" lang="ja-JP" altLang="en-US" sz="1050"/>
            <a:t>この場合のように，表中に記号を示したい場合は，</a:t>
          </a:r>
          <a:r>
            <a:rPr kumimoji="1" lang="en-US" altLang="ja-JP" sz="1050"/>
            <a:t>Word</a:t>
          </a:r>
          <a:r>
            <a:rPr kumimoji="1" lang="ja-JP" altLang="en-US" sz="1050"/>
            <a:t>に貼り付けた表で記すようにして下さい．</a:t>
          </a:r>
          <a:endParaRPr kumimoji="1" lang="en-US" altLang="ja-JP" sz="105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104</xdr:row>
      <xdr:rowOff>0</xdr:rowOff>
    </xdr:from>
    <xdr:to>
      <xdr:col>41</xdr:col>
      <xdr:colOff>304800</xdr:colOff>
      <xdr:row>125</xdr:row>
      <xdr:rowOff>142875</xdr:rowOff>
    </xdr:to>
    <xdr:graphicFrame macro="">
      <xdr:nvGraphicFramePr>
        <xdr:cNvPr id="41" name="グラフ 40">
          <a:extLst>
            <a:ext uri="{FF2B5EF4-FFF2-40B4-BE49-F238E27FC236}">
              <a16:creationId xmlns:a16="http://schemas.microsoft.com/office/drawing/2014/main" id="{1D8E224B-720E-4C8A-A28D-F0F967B5C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0</xdr:colOff>
      <xdr:row>12</xdr:row>
      <xdr:rowOff>0</xdr:rowOff>
    </xdr:from>
    <xdr:to>
      <xdr:col>40</xdr:col>
      <xdr:colOff>571498</xdr:colOff>
      <xdr:row>29</xdr:row>
      <xdr:rowOff>28576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0BE13E37-F234-4C69-8E6B-AACEF4F3C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0</xdr:colOff>
      <xdr:row>1</xdr:row>
      <xdr:rowOff>47625</xdr:rowOff>
    </xdr:from>
    <xdr:to>
      <xdr:col>41</xdr:col>
      <xdr:colOff>9525</xdr:colOff>
      <xdr:row>10</xdr:row>
      <xdr:rowOff>133351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F9802316-1CE8-4729-8017-047E0B4998AF}"/>
            </a:ext>
          </a:extLst>
        </xdr:cNvPr>
        <xdr:cNvSpPr txBox="1"/>
      </xdr:nvSpPr>
      <xdr:spPr>
        <a:xfrm>
          <a:off x="6772275" y="276225"/>
          <a:ext cx="4124325" cy="21431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50"/>
            <a:t>※</a:t>
          </a:r>
          <a:r>
            <a:rPr kumimoji="1" lang="ja-JP" altLang="en-US" sz="1050"/>
            <a:t>注意</a:t>
          </a:r>
          <a:r>
            <a:rPr kumimoji="1" lang="en-US" altLang="ja-JP" sz="1050"/>
            <a:t>6</a:t>
          </a:r>
        </a:p>
        <a:p>
          <a:r>
            <a:rPr kumimoji="1" lang="ja-JP" altLang="en-US" sz="1050"/>
            <a:t>本テーマは，班によって試行回数が異なる場合があります．その例として，幾つかの結果の例を示しています．ここに示した表のようにならない場合がありますので，その場合は使えそうな表を適宜修正して下さい．</a:t>
          </a:r>
          <a:endParaRPr kumimoji="1" lang="en-US" altLang="ja-JP" sz="1050"/>
        </a:p>
        <a:p>
          <a:r>
            <a:rPr kumimoji="1" lang="ja-JP" altLang="en-US" sz="1050"/>
            <a:t>因みに，グラフおよびレポート見本では，上から</a:t>
          </a:r>
          <a:r>
            <a:rPr kumimoji="1" lang="en-US" altLang="ja-JP" sz="1050"/>
            <a:t>2</a:t>
          </a:r>
          <a:r>
            <a:rPr kumimoji="1" lang="ja-JP" altLang="en-US" sz="1050"/>
            <a:t>番目の表を用いています．</a:t>
          </a:r>
          <a:endParaRPr kumimoji="1" lang="en-US" altLang="ja-JP" sz="1050"/>
        </a:p>
        <a:p>
          <a:r>
            <a:rPr kumimoji="1" lang="ja-JP" altLang="en-US" sz="1050"/>
            <a:t>グラフ中に配置した矢印や文字は，後から追加したもので，セルの値に連動していません．結果に合わせて適宜調整をして下さい．</a:t>
          </a:r>
          <a:endParaRPr kumimoji="1" lang="en-US" altLang="ja-JP" sz="1050"/>
        </a:p>
        <a:p>
          <a:endParaRPr kumimoji="1" lang="en-US" altLang="ja-JP" sz="1050"/>
        </a:p>
      </xdr:txBody>
    </xdr:sp>
    <xdr:clientData/>
  </xdr:twoCellAnchor>
  <xdr:twoCellAnchor>
    <xdr:from>
      <xdr:col>0</xdr:col>
      <xdr:colOff>95249</xdr:colOff>
      <xdr:row>9</xdr:row>
      <xdr:rowOff>0</xdr:rowOff>
    </xdr:from>
    <xdr:to>
      <xdr:col>2</xdr:col>
      <xdr:colOff>619125</xdr:colOff>
      <xdr:row>13</xdr:row>
      <xdr:rowOff>85725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C49EF15C-8723-4257-B023-B521937061F4}"/>
            </a:ext>
          </a:extLst>
        </xdr:cNvPr>
        <xdr:cNvSpPr txBox="1"/>
      </xdr:nvSpPr>
      <xdr:spPr>
        <a:xfrm>
          <a:off x="95249" y="2057400"/>
          <a:ext cx="1828801" cy="1000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50"/>
            <a:t>※</a:t>
          </a:r>
          <a:r>
            <a:rPr kumimoji="1" lang="ja-JP" altLang="en-US" sz="1050"/>
            <a:t>注意</a:t>
          </a:r>
          <a:r>
            <a:rPr kumimoji="1" lang="en-US" altLang="ja-JP" sz="1050"/>
            <a:t>7</a:t>
          </a:r>
        </a:p>
        <a:p>
          <a:r>
            <a:rPr kumimoji="1" lang="ja-JP" altLang="en-US" sz="1050"/>
            <a:t>自分の抵抗値は個人ごとに異なります．自分の抵抗値を調べて下さい．</a:t>
          </a:r>
          <a:endParaRPr kumimoji="1" lang="en-US" altLang="ja-JP" sz="1050"/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0.56431</cdr:x>
      <cdr:y>0.41849</cdr:y>
    </cdr:from>
    <cdr:to>
      <cdr:x>0.62308</cdr:x>
      <cdr:y>0.8002</cdr:y>
    </cdr:to>
    <cdr:sp macro="" textlink="">
      <cdr:nvSpPr>
        <cdr:cNvPr id="3" name="テキスト ボックス 2">
          <a:extLst xmlns:a="http://schemas.openxmlformats.org/drawingml/2006/main">
            <a:ext uri="{FF2B5EF4-FFF2-40B4-BE49-F238E27FC236}">
              <a16:creationId xmlns:a16="http://schemas.microsoft.com/office/drawing/2014/main" id="{74EECDF4-533B-466F-9E29-FD518047B085}"/>
            </a:ext>
          </a:extLst>
        </cdr:cNvPr>
        <cdr:cNvSpPr txBox="1"/>
      </cdr:nvSpPr>
      <cdr:spPr>
        <a:xfrm xmlns:a="http://schemas.openxmlformats.org/drawingml/2006/main" rot="16200000">
          <a:off x="1627924" y="2267898"/>
          <a:ext cx="1494304" cy="2351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ja-JP" sz="900">
              <a:latin typeface="游明朝" panose="02020400000000000000" pitchFamily="18" charset="-128"/>
              <a:ea typeface="游明朝" panose="02020400000000000000" pitchFamily="18" charset="-128"/>
            </a:rPr>
            <a:t>50%</a:t>
          </a:r>
          <a:r>
            <a:rPr lang="ja-JP" altLang="en-US" sz="900">
              <a:latin typeface="游明朝" panose="02020400000000000000" pitchFamily="18" charset="-128"/>
              <a:ea typeface="游明朝" panose="02020400000000000000" pitchFamily="18" charset="-128"/>
            </a:rPr>
            <a:t>フラッシオーバ電圧</a:t>
          </a:r>
        </a:p>
      </cdr:txBody>
    </cdr:sp>
  </cdr:relSizeAnchor>
  <cdr:relSizeAnchor xmlns:cdr="http://schemas.openxmlformats.org/drawingml/2006/chartDrawing">
    <cdr:from>
      <cdr:x>0.62143</cdr:x>
      <cdr:y>0.14556</cdr:y>
    </cdr:from>
    <cdr:to>
      <cdr:x>0.84367</cdr:x>
      <cdr:y>0.20882</cdr:y>
    </cdr:to>
    <cdr:sp macro="" textlink="">
      <cdr:nvSpPr>
        <cdr:cNvPr id="5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571C1708-E082-4D29-9CFC-4712102CE92D}"/>
            </a:ext>
          </a:extLst>
        </cdr:cNvPr>
        <cdr:cNvSpPr txBox="1"/>
      </cdr:nvSpPr>
      <cdr:spPr>
        <a:xfrm xmlns:a="http://schemas.openxmlformats.org/drawingml/2006/main">
          <a:off x="2486023" y="569825"/>
          <a:ext cx="889070" cy="247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ja-JP" sz="1000" i="0">
              <a:effectLst/>
              <a:latin typeface="游明朝" panose="02020400000000000000" pitchFamily="18" charset="-128"/>
              <a:ea typeface="游明朝" panose="02020400000000000000" pitchFamily="18" charset="-128"/>
              <a:cs typeface="+mn-cs"/>
            </a:rPr>
            <a:t>(</a:t>
          </a:r>
          <a:r>
            <a:rPr lang="en-US" altLang="ja-JP" sz="1000" i="1">
              <a:effectLst/>
              <a:latin typeface="游明朝" panose="02020400000000000000" pitchFamily="18" charset="-128"/>
              <a:ea typeface="游明朝" panose="02020400000000000000" pitchFamily="18" charset="-128"/>
              <a:cs typeface="+mn-cs"/>
            </a:rPr>
            <a:t>V</a:t>
          </a:r>
          <a:r>
            <a:rPr lang="en-US" altLang="ja-JP" sz="1000" i="1" baseline="-25000">
              <a:effectLst/>
              <a:latin typeface="游明朝" panose="02020400000000000000" pitchFamily="18" charset="-128"/>
              <a:ea typeface="游明朝" panose="02020400000000000000" pitchFamily="18" charset="-128"/>
              <a:cs typeface="+mn-cs"/>
            </a:rPr>
            <a:t>n</a:t>
          </a:r>
          <a:r>
            <a:rPr lang="en-US" altLang="ja-JP" sz="1000" i="1">
              <a:effectLst/>
              <a:latin typeface="游明朝" panose="02020400000000000000" pitchFamily="18" charset="-128"/>
              <a:ea typeface="游明朝" panose="02020400000000000000" pitchFamily="18" charset="-128"/>
              <a:cs typeface="+mn-cs"/>
            </a:rPr>
            <a:t> </a:t>
          </a:r>
          <a:r>
            <a:rPr lang="en-US" altLang="ja-JP" sz="1000" i="1">
              <a:latin typeface="游明朝" panose="02020400000000000000" pitchFamily="18" charset="-128"/>
              <a:ea typeface="游明朝" panose="02020400000000000000" pitchFamily="18" charset="-128"/>
            </a:rPr>
            <a:t>, p</a:t>
          </a:r>
          <a:r>
            <a:rPr lang="en-US" altLang="ja-JP" sz="1000" i="1" baseline="-25000">
              <a:latin typeface="游明朝" panose="02020400000000000000" pitchFamily="18" charset="-128"/>
              <a:ea typeface="游明朝" panose="02020400000000000000" pitchFamily="18" charset="-128"/>
            </a:rPr>
            <a:t>n</a:t>
          </a:r>
          <a:r>
            <a:rPr lang="ja-JP" altLang="en-US" sz="1000" i="1" baseline="-25000">
              <a:latin typeface="游明朝" panose="02020400000000000000" pitchFamily="18" charset="-128"/>
              <a:ea typeface="游明朝" panose="02020400000000000000" pitchFamily="18" charset="-128"/>
            </a:rPr>
            <a:t> </a:t>
          </a:r>
          <a:r>
            <a:rPr lang="en-US" altLang="ja-JP" sz="1000" i="0">
              <a:effectLst/>
              <a:latin typeface="游明朝" panose="02020400000000000000" pitchFamily="18" charset="-128"/>
              <a:ea typeface="游明朝" panose="02020400000000000000" pitchFamily="18" charset="-128"/>
              <a:cs typeface="+mn-cs"/>
            </a:rPr>
            <a:t>)</a:t>
          </a:r>
          <a:endParaRPr lang="ja-JP" altLang="en-US" sz="1000" i="0" baseline="-25000">
            <a:latin typeface="游明朝" panose="02020400000000000000" pitchFamily="18" charset="-128"/>
            <a:ea typeface="游明朝" panose="02020400000000000000" pitchFamily="18" charset="-128"/>
          </a:endParaRPr>
        </a:p>
      </cdr:txBody>
    </cdr:sp>
  </cdr:relSizeAnchor>
  <cdr:relSizeAnchor xmlns:cdr="http://schemas.openxmlformats.org/drawingml/2006/chartDrawing">
    <cdr:from>
      <cdr:x>0.56161</cdr:x>
      <cdr:y>0.78368</cdr:y>
    </cdr:from>
    <cdr:to>
      <cdr:x>0.82194</cdr:x>
      <cdr:y>0.84694</cdr:y>
    </cdr:to>
    <cdr:sp macro="" textlink="">
      <cdr:nvSpPr>
        <cdr:cNvPr id="6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571C1708-E082-4D29-9CFC-4712102CE92D}"/>
            </a:ext>
          </a:extLst>
        </cdr:cNvPr>
        <cdr:cNvSpPr txBox="1"/>
      </cdr:nvSpPr>
      <cdr:spPr>
        <a:xfrm xmlns:a="http://schemas.openxmlformats.org/drawingml/2006/main">
          <a:off x="2246715" y="3067949"/>
          <a:ext cx="1041466" cy="247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ja-JP" sz="1050" i="1">
              <a:latin typeface="游明朝" panose="02020400000000000000" pitchFamily="18" charset="-128"/>
              <a:ea typeface="游明朝" panose="02020400000000000000" pitchFamily="18" charset="-128"/>
            </a:rPr>
            <a:t>V</a:t>
          </a:r>
          <a:r>
            <a:rPr lang="en-US" altLang="ja-JP" sz="1050" baseline="-25000">
              <a:latin typeface="游明朝" panose="02020400000000000000" pitchFamily="18" charset="-128"/>
              <a:ea typeface="游明朝" panose="02020400000000000000" pitchFamily="18" charset="-128"/>
            </a:rPr>
            <a:t>50</a:t>
          </a:r>
          <a:r>
            <a:rPr lang="en-US" altLang="ja-JP" sz="1050">
              <a:latin typeface="游明朝" panose="02020400000000000000" pitchFamily="18" charset="-128"/>
              <a:ea typeface="游明朝" panose="02020400000000000000" pitchFamily="18" charset="-128"/>
            </a:rPr>
            <a:t> = 92.6 kV</a:t>
          </a:r>
        </a:p>
        <a:p xmlns:a="http://schemas.openxmlformats.org/drawingml/2006/main">
          <a:endParaRPr lang="ja-JP" altLang="en-US" sz="1050">
            <a:latin typeface="游明朝" panose="02020400000000000000" pitchFamily="18" charset="-128"/>
            <a:ea typeface="游明朝" panose="02020400000000000000" pitchFamily="18" charset="-128"/>
          </a:endParaRPr>
        </a:p>
      </cdr:txBody>
    </cdr:sp>
  </cdr:relSizeAnchor>
  <cdr:relSizeAnchor xmlns:cdr="http://schemas.openxmlformats.org/drawingml/2006/chartDrawing">
    <cdr:from>
      <cdr:x>0.56928</cdr:x>
      <cdr:y>0.4533</cdr:y>
    </cdr:from>
    <cdr:to>
      <cdr:x>0.56928</cdr:x>
      <cdr:y>0.86257</cdr:y>
    </cdr:to>
    <cdr:cxnSp macro="">
      <cdr:nvCxnSpPr>
        <cdr:cNvPr id="9" name="直線矢印コネクタ 8">
          <a:extLst xmlns:a="http://schemas.openxmlformats.org/drawingml/2006/main">
            <a:ext uri="{FF2B5EF4-FFF2-40B4-BE49-F238E27FC236}">
              <a16:creationId xmlns:a16="http://schemas.microsoft.com/office/drawing/2014/main" id="{F5ABDB28-7BD1-4C08-91C1-315C37E4A66D}"/>
            </a:ext>
          </a:extLst>
        </cdr:cNvPr>
        <cdr:cNvCxnSpPr/>
      </cdr:nvCxnSpPr>
      <cdr:spPr>
        <a:xfrm xmlns:a="http://schemas.openxmlformats.org/drawingml/2006/main">
          <a:off x="2283763" y="1767414"/>
          <a:ext cx="0" cy="1595735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0.13809</cdr:x>
      <cdr:y>0.44768</cdr:y>
    </cdr:from>
    <cdr:to>
      <cdr:x>0.56023</cdr:x>
      <cdr:y>0.44768</cdr:y>
    </cdr:to>
    <cdr:cxnSp macro="">
      <cdr:nvCxnSpPr>
        <cdr:cNvPr id="11" name="直線コネクタ 10">
          <a:extLst xmlns:a="http://schemas.openxmlformats.org/drawingml/2006/main">
            <a:ext uri="{FF2B5EF4-FFF2-40B4-BE49-F238E27FC236}">
              <a16:creationId xmlns:a16="http://schemas.microsoft.com/office/drawing/2014/main" id="{5FDD9902-E815-4111-9374-A509FAD8D20A}"/>
            </a:ext>
          </a:extLst>
        </cdr:cNvPr>
        <cdr:cNvCxnSpPr/>
      </cdr:nvCxnSpPr>
      <cdr:spPr>
        <a:xfrm xmlns:a="http://schemas.openxmlformats.org/drawingml/2006/main">
          <a:off x="552448" y="1752563"/>
          <a:ext cx="1688761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0.24048</cdr:x>
      <cdr:y>0.55994</cdr:y>
    </cdr:from>
    <cdr:to>
      <cdr:x>0.45275</cdr:x>
      <cdr:y>0.6232</cdr:y>
    </cdr:to>
    <cdr:sp macro="" textlink="">
      <cdr:nvSpPr>
        <cdr:cNvPr id="8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42674DC5-222D-4CA9-B25B-8B2F4E3D2140}"/>
            </a:ext>
          </a:extLst>
        </cdr:cNvPr>
        <cdr:cNvSpPr txBox="1"/>
      </cdr:nvSpPr>
      <cdr:spPr>
        <a:xfrm xmlns:a="http://schemas.openxmlformats.org/drawingml/2006/main">
          <a:off x="962023" y="2192033"/>
          <a:ext cx="849187" cy="247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ja-JP" sz="1000" i="0">
              <a:effectLst/>
              <a:latin typeface="游明朝" panose="02020400000000000000" pitchFamily="18" charset="-128"/>
              <a:ea typeface="游明朝" panose="02020400000000000000" pitchFamily="18" charset="-128"/>
              <a:cs typeface="+mn-cs"/>
            </a:rPr>
            <a:t>(</a:t>
          </a:r>
          <a:r>
            <a:rPr lang="en-US" altLang="ja-JP" sz="1000" i="1">
              <a:effectLst/>
              <a:latin typeface="游明朝" panose="02020400000000000000" pitchFamily="18" charset="-128"/>
              <a:ea typeface="游明朝" panose="02020400000000000000" pitchFamily="18" charset="-128"/>
              <a:cs typeface="+mn-cs"/>
            </a:rPr>
            <a:t>V</a:t>
          </a:r>
          <a:r>
            <a:rPr lang="en-US" altLang="ja-JP" sz="1000" i="1" baseline="-25000">
              <a:effectLst/>
              <a:latin typeface="游明朝" panose="02020400000000000000" pitchFamily="18" charset="-128"/>
              <a:ea typeface="游明朝" panose="02020400000000000000" pitchFamily="18" charset="-128"/>
              <a:cs typeface="+mn-cs"/>
            </a:rPr>
            <a:t>m</a:t>
          </a:r>
          <a:r>
            <a:rPr lang="en-US" altLang="ja-JP" sz="1000" i="1">
              <a:effectLst/>
              <a:latin typeface="游明朝" panose="02020400000000000000" pitchFamily="18" charset="-128"/>
              <a:ea typeface="游明朝" panose="02020400000000000000" pitchFamily="18" charset="-128"/>
              <a:cs typeface="+mn-cs"/>
            </a:rPr>
            <a:t> </a:t>
          </a:r>
          <a:r>
            <a:rPr lang="en-US" altLang="ja-JP" sz="1000" i="1">
              <a:latin typeface="游明朝" panose="02020400000000000000" pitchFamily="18" charset="-128"/>
              <a:ea typeface="游明朝" panose="02020400000000000000" pitchFamily="18" charset="-128"/>
            </a:rPr>
            <a:t>, p</a:t>
          </a:r>
          <a:r>
            <a:rPr lang="en-US" altLang="ja-JP" sz="1000" i="1" baseline="-25000">
              <a:latin typeface="游明朝" panose="02020400000000000000" pitchFamily="18" charset="-128"/>
              <a:ea typeface="游明朝" panose="02020400000000000000" pitchFamily="18" charset="-128"/>
            </a:rPr>
            <a:t>m </a:t>
          </a:r>
          <a:r>
            <a:rPr lang="en-US" altLang="ja-JP" sz="1000" i="0">
              <a:effectLst/>
              <a:latin typeface="游明朝" panose="02020400000000000000" pitchFamily="18" charset="-128"/>
              <a:ea typeface="游明朝" panose="02020400000000000000" pitchFamily="18" charset="-128"/>
              <a:cs typeface="+mn-cs"/>
            </a:rPr>
            <a:t>)</a:t>
          </a:r>
          <a:endParaRPr lang="ja-JP" altLang="en-US" sz="1000" i="0" baseline="-25000">
            <a:latin typeface="游明朝" panose="02020400000000000000" pitchFamily="18" charset="-128"/>
            <a:ea typeface="游明朝" panose="02020400000000000000" pitchFamily="18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8"/>
  <sheetViews>
    <sheetView showGridLines="0" tabSelected="1" workbookViewId="0">
      <selection activeCell="A2" sqref="A2"/>
    </sheetView>
  </sheetViews>
  <sheetFormatPr defaultRowHeight="18" customHeight="1"/>
  <cols>
    <col min="1" max="1" width="9" style="2"/>
    <col min="2" max="2" width="19.375" style="2" customWidth="1"/>
    <col min="3" max="3" width="18.625" style="2" customWidth="1"/>
    <col min="4" max="4" width="22.25" style="2" customWidth="1"/>
    <col min="5" max="16384" width="9" style="2"/>
  </cols>
  <sheetData>
    <row r="1" spans="2:5" ht="18" customHeight="1">
      <c r="B1" s="1"/>
      <c r="C1" s="1"/>
      <c r="D1" s="1"/>
      <c r="E1" s="1"/>
    </row>
    <row r="2" spans="2:5" ht="18" customHeight="1">
      <c r="B2" s="3" t="s">
        <v>0</v>
      </c>
      <c r="C2" s="3" t="s">
        <v>1</v>
      </c>
      <c r="D2" s="3" t="s">
        <v>2</v>
      </c>
      <c r="E2" s="4" t="s">
        <v>3</v>
      </c>
    </row>
    <row r="3" spans="2:5" ht="18" customHeight="1">
      <c r="B3" s="19" t="s">
        <v>4</v>
      </c>
      <c r="C3" s="6" t="s">
        <v>81</v>
      </c>
      <c r="D3" s="19" t="s">
        <v>5</v>
      </c>
      <c r="E3" s="19">
        <v>5477</v>
      </c>
    </row>
    <row r="4" spans="2:5" ht="18" customHeight="1">
      <c r="B4" s="5" t="s">
        <v>6</v>
      </c>
      <c r="C4" s="5" t="s">
        <v>22</v>
      </c>
      <c r="D4" s="5" t="s">
        <v>7</v>
      </c>
      <c r="E4" s="6">
        <v>5477</v>
      </c>
    </row>
    <row r="5" spans="2:5" ht="18" customHeight="1">
      <c r="B5" s="5" t="s">
        <v>8</v>
      </c>
      <c r="C5" s="5" t="s">
        <v>22</v>
      </c>
      <c r="D5" s="5" t="s">
        <v>9</v>
      </c>
      <c r="E5" s="6">
        <v>5477</v>
      </c>
    </row>
    <row r="6" spans="2:5" ht="18" customHeight="1">
      <c r="B6" s="5" t="s">
        <v>10</v>
      </c>
      <c r="C6" s="5" t="s">
        <v>22</v>
      </c>
      <c r="D6" s="5" t="s">
        <v>11</v>
      </c>
      <c r="E6" s="6">
        <v>5477</v>
      </c>
    </row>
    <row r="7" spans="2:5" ht="18" customHeight="1">
      <c r="B7" s="5" t="s">
        <v>23</v>
      </c>
      <c r="C7" s="5" t="s">
        <v>22</v>
      </c>
      <c r="D7" s="5" t="s">
        <v>12</v>
      </c>
      <c r="E7" s="6">
        <v>5477</v>
      </c>
    </row>
    <row r="8" spans="2:5" ht="18" customHeight="1">
      <c r="B8" s="5" t="s">
        <v>13</v>
      </c>
      <c r="C8" s="5" t="s">
        <v>22</v>
      </c>
      <c r="D8" s="5" t="s">
        <v>14</v>
      </c>
      <c r="E8" s="6">
        <v>5477</v>
      </c>
    </row>
    <row r="9" spans="2:5" ht="18" customHeight="1">
      <c r="B9" s="6" t="s">
        <v>15</v>
      </c>
      <c r="C9" s="6" t="s">
        <v>22</v>
      </c>
      <c r="D9" s="6" t="s">
        <v>82</v>
      </c>
      <c r="E9" s="5"/>
    </row>
    <row r="10" spans="2:5" ht="18" customHeight="1">
      <c r="B10" s="5" t="s">
        <v>16</v>
      </c>
      <c r="C10" s="5" t="s">
        <v>22</v>
      </c>
      <c r="D10" s="5" t="s">
        <v>17</v>
      </c>
      <c r="E10" s="5"/>
    </row>
    <row r="11" spans="2:5" ht="18" customHeight="1">
      <c r="B11" s="5" t="s">
        <v>18</v>
      </c>
      <c r="C11" s="5" t="s">
        <v>19</v>
      </c>
      <c r="D11" s="5" t="s">
        <v>20</v>
      </c>
      <c r="E11" s="5" t="s">
        <v>21</v>
      </c>
    </row>
    <row r="12" spans="2:5" ht="18" customHeight="1">
      <c r="B12" s="7" t="s">
        <v>76</v>
      </c>
      <c r="C12" s="7" t="s">
        <v>77</v>
      </c>
      <c r="D12" s="7" t="s">
        <v>78</v>
      </c>
      <c r="E12" s="7" t="s">
        <v>79</v>
      </c>
    </row>
    <row r="13" spans="2:5" ht="18" customHeight="1">
      <c r="B13" s="5"/>
      <c r="C13" s="5"/>
      <c r="D13" s="5"/>
      <c r="E13" s="5"/>
    </row>
    <row r="14" spans="2:5" ht="18" customHeight="1">
      <c r="B14" s="1"/>
      <c r="C14" s="1"/>
      <c r="D14" s="1"/>
      <c r="E14" s="1"/>
    </row>
    <row r="15" spans="2:5" ht="18" customHeight="1">
      <c r="B15" s="1"/>
      <c r="C15" s="1"/>
    </row>
    <row r="16" spans="2:5" ht="18" customHeight="1">
      <c r="B16" s="1"/>
      <c r="C16" s="1"/>
    </row>
    <row r="17" spans="3:3" ht="18" customHeight="1">
      <c r="C17" s="1"/>
    </row>
    <row r="18" spans="3:3" ht="18" customHeight="1">
      <c r="C18" s="1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65DEE-EB96-47F1-97B7-7421E7986026}">
  <dimension ref="B1:X47"/>
  <sheetViews>
    <sheetView showGridLines="0" zoomScaleNormal="100" workbookViewId="0">
      <selection activeCell="Y9" sqref="Y9"/>
    </sheetView>
  </sheetViews>
  <sheetFormatPr defaultRowHeight="18" customHeight="1"/>
  <cols>
    <col min="1" max="1" width="9" style="2"/>
    <col min="2" max="14" width="3.125" style="2" customWidth="1"/>
    <col min="15" max="16" width="1.625" style="2" customWidth="1"/>
    <col min="17" max="47" width="3.125" style="2" customWidth="1"/>
    <col min="48" max="16384" width="9" style="2"/>
  </cols>
  <sheetData>
    <row r="1" spans="2:23" ht="18" customHeight="1">
      <c r="T1" s="1"/>
      <c r="U1" s="1"/>
      <c r="V1" s="1"/>
      <c r="W1" s="1"/>
    </row>
    <row r="2" spans="2:23" ht="18" customHeight="1">
      <c r="B2" s="39" t="s">
        <v>36</v>
      </c>
      <c r="C2" s="39"/>
      <c r="D2" s="39"/>
      <c r="E2" s="39" t="s">
        <v>37</v>
      </c>
      <c r="F2" s="39"/>
      <c r="G2" s="39"/>
      <c r="H2" s="39"/>
      <c r="I2" s="39" t="s">
        <v>25</v>
      </c>
      <c r="J2" s="39"/>
      <c r="K2" s="39"/>
      <c r="L2" s="39"/>
      <c r="M2" s="39" t="s">
        <v>33</v>
      </c>
      <c r="N2" s="39"/>
      <c r="O2" s="39"/>
      <c r="P2" s="39"/>
      <c r="Q2" s="39"/>
      <c r="R2" s="39"/>
      <c r="S2" s="39"/>
      <c r="T2" s="8"/>
      <c r="U2" s="8"/>
      <c r="V2" s="8"/>
      <c r="W2" s="1"/>
    </row>
    <row r="3" spans="2:23" ht="18" customHeight="1">
      <c r="B3" s="39">
        <v>23</v>
      </c>
      <c r="C3" s="39"/>
      <c r="D3" s="39"/>
      <c r="E3" s="39">
        <v>984</v>
      </c>
      <c r="F3" s="39"/>
      <c r="G3" s="39"/>
      <c r="H3" s="39"/>
      <c r="I3" s="41">
        <f>0.289*(E3/(273+B3))</f>
        <v>0.96072972972972959</v>
      </c>
      <c r="J3" s="41"/>
      <c r="K3" s="41"/>
      <c r="L3" s="41"/>
      <c r="M3" s="41">
        <f>0.294*(E3/(273+B3))</f>
        <v>0.97735135135135121</v>
      </c>
      <c r="N3" s="41"/>
      <c r="O3" s="41"/>
      <c r="P3" s="41"/>
      <c r="Q3" s="41"/>
      <c r="R3" s="41"/>
      <c r="S3" s="41"/>
      <c r="T3" s="9"/>
      <c r="U3" s="8"/>
      <c r="V3" s="8"/>
      <c r="W3" s="1"/>
    </row>
    <row r="4" spans="2:23" ht="18" customHeight="1">
      <c r="B4" s="1"/>
      <c r="C4" s="1"/>
      <c r="D4" s="1"/>
      <c r="E4" s="1"/>
      <c r="F4" s="1"/>
      <c r="T4" s="1"/>
      <c r="U4" s="1"/>
      <c r="V4" s="1"/>
      <c r="W4" s="1"/>
    </row>
    <row r="5" spans="2:23" ht="18" customHeight="1">
      <c r="B5" s="1"/>
      <c r="C5" s="1"/>
      <c r="D5" s="1"/>
      <c r="E5" s="1"/>
      <c r="F5" s="1"/>
      <c r="U5" s="1"/>
      <c r="V5" s="1"/>
      <c r="W5" s="1"/>
    </row>
    <row r="6" spans="2:23" ht="18" customHeight="1">
      <c r="B6" s="1" t="s">
        <v>29</v>
      </c>
      <c r="C6" s="1"/>
      <c r="D6" s="1"/>
      <c r="E6" s="1"/>
      <c r="F6" s="1"/>
    </row>
    <row r="7" spans="2:23" ht="18" customHeight="1">
      <c r="B7" s="42" t="s">
        <v>38</v>
      </c>
      <c r="C7" s="43"/>
      <c r="D7" s="43"/>
      <c r="E7" s="43"/>
      <c r="F7" s="39" t="s">
        <v>39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</row>
    <row r="8" spans="2:23" ht="18" customHeight="1">
      <c r="B8" s="44"/>
      <c r="C8" s="44"/>
      <c r="D8" s="44"/>
      <c r="E8" s="44"/>
      <c r="F8" s="44" t="s">
        <v>26</v>
      </c>
      <c r="G8" s="44"/>
      <c r="H8" s="44"/>
      <c r="I8" s="40" t="s">
        <v>24</v>
      </c>
      <c r="J8" s="40"/>
      <c r="K8" s="40"/>
      <c r="L8" s="40"/>
      <c r="M8" s="40"/>
      <c r="N8" s="40"/>
      <c r="O8" s="40"/>
      <c r="P8" s="40"/>
      <c r="Q8" s="40"/>
      <c r="R8" s="40"/>
    </row>
    <row r="9" spans="2:23" ht="18" customHeight="1">
      <c r="B9" s="45"/>
      <c r="C9" s="45"/>
      <c r="D9" s="45"/>
      <c r="E9" s="45"/>
      <c r="F9" s="45"/>
      <c r="G9" s="45"/>
      <c r="H9" s="45"/>
      <c r="I9" s="46" t="s">
        <v>27</v>
      </c>
      <c r="J9" s="46"/>
      <c r="K9" s="46"/>
      <c r="L9" s="46" t="s">
        <v>28</v>
      </c>
      <c r="M9" s="46"/>
      <c r="N9" s="46"/>
      <c r="O9" s="46" t="s">
        <v>47</v>
      </c>
      <c r="P9" s="46"/>
      <c r="Q9" s="46"/>
      <c r="R9" s="46"/>
    </row>
    <row r="10" spans="2:23" ht="18" customHeight="1">
      <c r="B10" s="34">
        <v>0.4</v>
      </c>
      <c r="C10" s="34"/>
      <c r="D10" s="34"/>
      <c r="E10" s="34"/>
      <c r="F10" s="35">
        <f>23.85*$I$3*(1+(0.329/(SQRT($I$3*B10))))*B10</f>
        <v>14.029600471510657</v>
      </c>
      <c r="G10" s="35"/>
      <c r="H10" s="35"/>
      <c r="I10" s="34">
        <v>13.3</v>
      </c>
      <c r="J10" s="34"/>
      <c r="K10" s="34"/>
      <c r="L10" s="34">
        <v>13.6</v>
      </c>
      <c r="M10" s="34"/>
      <c r="N10" s="34"/>
      <c r="O10" s="35">
        <f>AVERAGE(I10:N10)</f>
        <v>13.45</v>
      </c>
      <c r="P10" s="35"/>
      <c r="Q10" s="35"/>
      <c r="R10" s="35"/>
    </row>
    <row r="11" spans="2:23" ht="18" customHeight="1">
      <c r="B11" s="34">
        <v>0.7</v>
      </c>
      <c r="C11" s="34"/>
      <c r="D11" s="34"/>
      <c r="E11" s="34"/>
      <c r="F11" s="35">
        <f>23.85*$I$3*(1+(0.329/(SQRT($I$3*B11))))*B11</f>
        <v>22.474165995050448</v>
      </c>
      <c r="G11" s="35"/>
      <c r="H11" s="35"/>
      <c r="I11" s="34">
        <v>22.2</v>
      </c>
      <c r="J11" s="34"/>
      <c r="K11" s="34"/>
      <c r="L11" s="34">
        <v>20</v>
      </c>
      <c r="M11" s="34"/>
      <c r="N11" s="34"/>
      <c r="O11" s="35">
        <f>AVERAGE(I11:N11)</f>
        <v>21.1</v>
      </c>
      <c r="P11" s="35"/>
      <c r="Q11" s="35"/>
      <c r="R11" s="35"/>
    </row>
    <row r="12" spans="2:23" ht="18" customHeight="1">
      <c r="B12" s="34">
        <v>1</v>
      </c>
      <c r="C12" s="34"/>
      <c r="D12" s="34"/>
      <c r="E12" s="34"/>
      <c r="F12" s="35">
        <f>23.85*$I$3*(1+(0.329/(SQRT($I$3*B12))))*B12</f>
        <v>30.604440978417664</v>
      </c>
      <c r="G12" s="35"/>
      <c r="H12" s="35"/>
      <c r="I12" s="34">
        <v>30.4</v>
      </c>
      <c r="J12" s="34"/>
      <c r="K12" s="34"/>
      <c r="L12" s="34">
        <v>29.5</v>
      </c>
      <c r="M12" s="34"/>
      <c r="N12" s="34"/>
      <c r="O12" s="35">
        <f>AVERAGE(I12:N12)</f>
        <v>29.95</v>
      </c>
      <c r="P12" s="35"/>
      <c r="Q12" s="35"/>
      <c r="R12" s="35"/>
    </row>
    <row r="13" spans="2:23" ht="18" customHeight="1">
      <c r="B13" s="34">
        <v>1.3</v>
      </c>
      <c r="C13" s="34"/>
      <c r="D13" s="34"/>
      <c r="E13" s="34"/>
      <c r="F13" s="35">
        <f>23.85*$I$3*(1+(0.329/(SQRT($I$3*B13))))*B13</f>
        <v>38.556556564959713</v>
      </c>
      <c r="G13" s="35"/>
      <c r="H13" s="35"/>
      <c r="I13" s="34">
        <v>37.1</v>
      </c>
      <c r="J13" s="34"/>
      <c r="K13" s="34"/>
      <c r="L13" s="34">
        <v>38.200000000000003</v>
      </c>
      <c r="M13" s="34"/>
      <c r="N13" s="34"/>
      <c r="O13" s="35">
        <f>AVERAGE(I13:N13)</f>
        <v>37.650000000000006</v>
      </c>
      <c r="P13" s="35"/>
      <c r="Q13" s="35"/>
      <c r="R13" s="35"/>
    </row>
    <row r="14" spans="2:23" ht="18" customHeight="1">
      <c r="B14" s="47">
        <v>1.6</v>
      </c>
      <c r="C14" s="47"/>
      <c r="D14" s="47"/>
      <c r="E14" s="47"/>
      <c r="F14" s="48">
        <f>23.85*$I$3*(1+(0.329/(SQRT($I$3*B14))))*B14</f>
        <v>46.389924186264558</v>
      </c>
      <c r="G14" s="48"/>
      <c r="H14" s="48"/>
      <c r="I14" s="47">
        <v>46.5</v>
      </c>
      <c r="J14" s="47"/>
      <c r="K14" s="47"/>
      <c r="L14" s="47">
        <v>46.4</v>
      </c>
      <c r="M14" s="47"/>
      <c r="N14" s="47"/>
      <c r="O14" s="48">
        <f>AVERAGE(I14:N14)</f>
        <v>46.45</v>
      </c>
      <c r="P14" s="48"/>
      <c r="Q14" s="48"/>
      <c r="R14" s="48"/>
    </row>
    <row r="17" spans="2:21" ht="18" customHeight="1">
      <c r="B17" s="1" t="s">
        <v>30</v>
      </c>
      <c r="C17" s="1"/>
      <c r="D17" s="1"/>
      <c r="E17" s="1" t="s">
        <v>34</v>
      </c>
      <c r="F17" s="1"/>
      <c r="G17" s="2">
        <v>5</v>
      </c>
      <c r="H17" s="2" t="s">
        <v>35</v>
      </c>
    </row>
    <row r="18" spans="2:21" ht="18" customHeight="1">
      <c r="B18" s="42" t="s">
        <v>38</v>
      </c>
      <c r="C18" s="43"/>
      <c r="D18" s="43"/>
      <c r="E18" s="43"/>
      <c r="F18" s="39" t="s">
        <v>39</v>
      </c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42" t="s">
        <v>31</v>
      </c>
      <c r="T18" s="43"/>
      <c r="U18" s="43"/>
    </row>
    <row r="19" spans="2:21" ht="18" customHeight="1">
      <c r="B19" s="44"/>
      <c r="C19" s="44"/>
      <c r="D19" s="44"/>
      <c r="E19" s="44"/>
      <c r="F19" s="44" t="s">
        <v>26</v>
      </c>
      <c r="G19" s="44"/>
      <c r="H19" s="44"/>
      <c r="I19" s="40" t="s">
        <v>24</v>
      </c>
      <c r="J19" s="40"/>
      <c r="K19" s="40"/>
      <c r="L19" s="40"/>
      <c r="M19" s="40"/>
      <c r="N19" s="40"/>
      <c r="O19" s="40"/>
      <c r="P19" s="40"/>
      <c r="Q19" s="40"/>
      <c r="R19" s="40"/>
      <c r="S19" s="44"/>
      <c r="T19" s="44"/>
      <c r="U19" s="44"/>
    </row>
    <row r="20" spans="2:21" ht="18" customHeight="1">
      <c r="B20" s="45"/>
      <c r="C20" s="45"/>
      <c r="D20" s="45"/>
      <c r="E20" s="45"/>
      <c r="F20" s="45"/>
      <c r="G20" s="45"/>
      <c r="H20" s="45"/>
      <c r="I20" s="46" t="s">
        <v>27</v>
      </c>
      <c r="J20" s="46"/>
      <c r="K20" s="46"/>
      <c r="L20" s="46" t="s">
        <v>28</v>
      </c>
      <c r="M20" s="46"/>
      <c r="N20" s="46"/>
      <c r="O20" s="46" t="s">
        <v>47</v>
      </c>
      <c r="P20" s="46"/>
      <c r="Q20" s="46"/>
      <c r="R20" s="46"/>
      <c r="S20" s="45"/>
      <c r="T20" s="45"/>
      <c r="U20" s="45"/>
    </row>
    <row r="21" spans="2:21" ht="18" customHeight="1">
      <c r="B21" s="34">
        <v>0.4</v>
      </c>
      <c r="C21" s="34"/>
      <c r="D21" s="34"/>
      <c r="E21" s="34"/>
      <c r="F21" s="35">
        <f>27.9*$I$3*(1+(0.533/(SQRT($I$3*$G$17))))*(B21/S21)</f>
        <v>12.981121445902165</v>
      </c>
      <c r="G21" s="35"/>
      <c r="H21" s="35"/>
      <c r="I21" s="44">
        <v>14.8</v>
      </c>
      <c r="J21" s="44"/>
      <c r="K21" s="44"/>
      <c r="L21" s="44">
        <v>13.7</v>
      </c>
      <c r="M21" s="44"/>
      <c r="N21" s="44"/>
      <c r="O21" s="35">
        <f>AVERAGE(I21:N21)</f>
        <v>14.25</v>
      </c>
      <c r="P21" s="35"/>
      <c r="Q21" s="35"/>
      <c r="R21" s="35"/>
      <c r="S21" s="49">
        <f>1+(1/3)*(B21/$G$17)+(1/45)*POWER((B21/$G$17),2)+(73/53760)*POWER((B21/$G$17),3)</f>
        <v>1.0268095841269842</v>
      </c>
      <c r="T21" s="49"/>
      <c r="U21" s="49"/>
    </row>
    <row r="22" spans="2:21" ht="18" customHeight="1">
      <c r="B22" s="34">
        <v>0.7</v>
      </c>
      <c r="C22" s="34"/>
      <c r="D22" s="34"/>
      <c r="E22" s="34"/>
      <c r="F22" s="35">
        <f>27.9*$I$3*(1+(0.533/(SQRT($I$3*$G$17))))*(B22/S22)</f>
        <v>22.276632930096419</v>
      </c>
      <c r="G22" s="35"/>
      <c r="H22" s="35"/>
      <c r="I22" s="44">
        <v>21.6</v>
      </c>
      <c r="J22" s="44"/>
      <c r="K22" s="44"/>
      <c r="L22" s="44">
        <v>18.600000000000001</v>
      </c>
      <c r="M22" s="44"/>
      <c r="N22" s="44"/>
      <c r="O22" s="35">
        <f>AVERAGE(I22:N22)</f>
        <v>20.100000000000001</v>
      </c>
      <c r="P22" s="35"/>
      <c r="Q22" s="35"/>
      <c r="R22" s="35"/>
      <c r="S22" s="49">
        <f>1+(1/3)*(B22/$G$17)+(1/45)*POWER((B22/$G$17),2)+(73/53760)*POWER((B22/$G$17),3)</f>
        <v>1.0471059482638889</v>
      </c>
      <c r="T22" s="49"/>
      <c r="U22" s="49"/>
    </row>
    <row r="23" spans="2:21" ht="18" customHeight="1">
      <c r="B23" s="34">
        <v>1</v>
      </c>
      <c r="C23" s="34"/>
      <c r="D23" s="34"/>
      <c r="E23" s="34"/>
      <c r="F23" s="35">
        <f>27.9*$I$3*(1+(0.533/(SQRT($I$3*$G$17))))*(B23/S23)</f>
        <v>31.213842250242013</v>
      </c>
      <c r="G23" s="35"/>
      <c r="H23" s="35"/>
      <c r="I23" s="44">
        <v>30.9</v>
      </c>
      <c r="J23" s="44"/>
      <c r="K23" s="44"/>
      <c r="L23" s="44">
        <v>30.8</v>
      </c>
      <c r="M23" s="44"/>
      <c r="N23" s="44"/>
      <c r="O23" s="35">
        <f>AVERAGE(I23:N23)</f>
        <v>30.85</v>
      </c>
      <c r="P23" s="35"/>
      <c r="Q23" s="35"/>
      <c r="R23" s="35"/>
      <c r="S23" s="49">
        <f>1+(1/3)*(B23/$G$17)+(1/45)*POWER((B23/$G$17),2)+(73/53760)*POWER((B23/$G$17),3)</f>
        <v>1.0675664186507936</v>
      </c>
      <c r="T23" s="49"/>
      <c r="U23" s="49"/>
    </row>
    <row r="24" spans="2:21" ht="18" customHeight="1">
      <c r="B24" s="34">
        <v>1.3</v>
      </c>
      <c r="C24" s="34"/>
      <c r="D24" s="34"/>
      <c r="E24" s="34"/>
      <c r="F24" s="35">
        <f>27.9*$I$3*(1+(0.533/(SQRT($I$3*$G$17))))*(B24/S24)</f>
        <v>39.808852351809662</v>
      </c>
      <c r="G24" s="35"/>
      <c r="H24" s="35"/>
      <c r="I24" s="44">
        <v>38.200000000000003</v>
      </c>
      <c r="J24" s="44"/>
      <c r="K24" s="44"/>
      <c r="L24" s="44">
        <v>38.799999999999997</v>
      </c>
      <c r="M24" s="44"/>
      <c r="N24" s="44"/>
      <c r="O24" s="35">
        <f>AVERAGE(I24:N24)</f>
        <v>38.5</v>
      </c>
      <c r="P24" s="35"/>
      <c r="Q24" s="35"/>
      <c r="R24" s="35"/>
      <c r="S24" s="49">
        <f>1+(1/3)*(B24/$G$17)+(1/45)*POWER((B24/$G$17),2)+(73/53760)*POWER((B24/$G$17),3)</f>
        <v>1.0881927551091271</v>
      </c>
      <c r="T24" s="49"/>
      <c r="U24" s="49"/>
    </row>
    <row r="25" spans="2:21" ht="18" customHeight="1">
      <c r="B25" s="47">
        <v>1.6</v>
      </c>
      <c r="C25" s="47"/>
      <c r="D25" s="47"/>
      <c r="E25" s="47"/>
      <c r="F25" s="48">
        <f>27.9*$I$3*(1+(0.533/(SQRT($I$3*$G$17))))*(B25/S25)</f>
        <v>48.076824378541332</v>
      </c>
      <c r="G25" s="48"/>
      <c r="H25" s="48"/>
      <c r="I25" s="45">
        <v>44.4</v>
      </c>
      <c r="J25" s="45"/>
      <c r="K25" s="45"/>
      <c r="L25" s="45">
        <v>46.5</v>
      </c>
      <c r="M25" s="45"/>
      <c r="N25" s="45"/>
      <c r="O25" s="48">
        <f>AVERAGE(I25:N25)</f>
        <v>45.45</v>
      </c>
      <c r="P25" s="48"/>
      <c r="Q25" s="48"/>
      <c r="R25" s="48"/>
      <c r="S25" s="50">
        <f>1+(1/3)*(B25/$G$17)+(1/45)*POWER((B25/$G$17),2)+(73/53760)*POWER((B25/$G$17),3)</f>
        <v>1.1089867174603174</v>
      </c>
      <c r="T25" s="50"/>
      <c r="U25" s="50"/>
    </row>
    <row r="28" spans="2:21" ht="18" customHeight="1">
      <c r="B28" s="1" t="s">
        <v>32</v>
      </c>
      <c r="C28" s="1"/>
      <c r="D28" s="1"/>
      <c r="E28" s="1"/>
      <c r="F28" s="1"/>
    </row>
    <row r="29" spans="2:21" ht="18" customHeight="1">
      <c r="B29" s="42" t="s">
        <v>38</v>
      </c>
      <c r="C29" s="43"/>
      <c r="D29" s="43"/>
      <c r="E29" s="43"/>
      <c r="F29" s="39" t="s">
        <v>39</v>
      </c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</row>
    <row r="30" spans="2:21" ht="18" customHeight="1">
      <c r="B30" s="44"/>
      <c r="C30" s="44"/>
      <c r="D30" s="44"/>
      <c r="E30" s="44"/>
      <c r="F30" s="44" t="s">
        <v>26</v>
      </c>
      <c r="G30" s="44"/>
      <c r="H30" s="44"/>
      <c r="I30" s="40" t="s">
        <v>24</v>
      </c>
      <c r="J30" s="40"/>
      <c r="K30" s="40"/>
      <c r="L30" s="40"/>
      <c r="M30" s="40"/>
      <c r="N30" s="40"/>
      <c r="O30" s="40"/>
      <c r="P30" s="40"/>
      <c r="Q30" s="40"/>
      <c r="R30" s="40"/>
    </row>
    <row r="31" spans="2:21" ht="18" customHeight="1">
      <c r="B31" s="45"/>
      <c r="C31" s="45"/>
      <c r="D31" s="45"/>
      <c r="E31" s="45"/>
      <c r="F31" s="45"/>
      <c r="G31" s="45"/>
      <c r="H31" s="45"/>
      <c r="I31" s="46" t="s">
        <v>27</v>
      </c>
      <c r="J31" s="46"/>
      <c r="K31" s="46"/>
      <c r="L31" s="46" t="s">
        <v>28</v>
      </c>
      <c r="M31" s="46"/>
      <c r="N31" s="46"/>
      <c r="O31" s="46" t="s">
        <v>47</v>
      </c>
      <c r="P31" s="46"/>
      <c r="Q31" s="46"/>
      <c r="R31" s="46"/>
    </row>
    <row r="32" spans="2:21" ht="18" customHeight="1">
      <c r="B32" s="34">
        <v>1</v>
      </c>
      <c r="C32" s="34"/>
      <c r="D32" s="34"/>
      <c r="E32" s="34"/>
      <c r="F32" s="35">
        <f>(18.4+5.01*B32)*$M$3</f>
        <v>22.879795135135129</v>
      </c>
      <c r="G32" s="35"/>
      <c r="H32" s="35"/>
      <c r="I32" s="44">
        <v>8.6</v>
      </c>
      <c r="J32" s="44"/>
      <c r="K32" s="44"/>
      <c r="L32" s="44">
        <v>9.1999999999999993</v>
      </c>
      <c r="M32" s="44"/>
      <c r="N32" s="44"/>
      <c r="O32" s="35">
        <f>AVERAGE(I32:N32)</f>
        <v>8.8999999999999986</v>
      </c>
      <c r="P32" s="35"/>
      <c r="Q32" s="35"/>
      <c r="R32" s="35"/>
    </row>
    <row r="33" spans="2:24" ht="18" customHeight="1">
      <c r="B33" s="34">
        <v>2</v>
      </c>
      <c r="C33" s="34"/>
      <c r="D33" s="34"/>
      <c r="E33" s="34"/>
      <c r="F33" s="35">
        <f>(18.4+5.01*B33)*$M$3</f>
        <v>27.776325405405398</v>
      </c>
      <c r="G33" s="35"/>
      <c r="H33" s="35"/>
      <c r="I33" s="44">
        <v>21.5</v>
      </c>
      <c r="J33" s="44"/>
      <c r="K33" s="44"/>
      <c r="L33" s="44">
        <v>21.5</v>
      </c>
      <c r="M33" s="44"/>
      <c r="N33" s="44"/>
      <c r="O33" s="35">
        <f>AVERAGE(I33:N33)</f>
        <v>21.5</v>
      </c>
      <c r="P33" s="35"/>
      <c r="Q33" s="35"/>
      <c r="R33" s="35"/>
    </row>
    <row r="34" spans="2:24" ht="18" customHeight="1">
      <c r="B34" s="34">
        <v>3</v>
      </c>
      <c r="C34" s="34"/>
      <c r="D34" s="34"/>
      <c r="E34" s="34"/>
      <c r="F34" s="35">
        <f>(18.4+5.01*B34)*$M$3</f>
        <v>32.67285567567567</v>
      </c>
      <c r="G34" s="35"/>
      <c r="H34" s="35"/>
      <c r="I34" s="44">
        <v>31.2</v>
      </c>
      <c r="J34" s="44"/>
      <c r="K34" s="44"/>
      <c r="L34" s="44">
        <v>31.1</v>
      </c>
      <c r="M34" s="44"/>
      <c r="N34" s="44"/>
      <c r="O34" s="35">
        <f>AVERAGE(I34:N34)</f>
        <v>31.15</v>
      </c>
      <c r="P34" s="35"/>
      <c r="Q34" s="35"/>
      <c r="R34" s="35"/>
    </row>
    <row r="35" spans="2:24" ht="18" customHeight="1">
      <c r="B35" s="34">
        <v>4</v>
      </c>
      <c r="C35" s="34"/>
      <c r="D35" s="34"/>
      <c r="E35" s="34"/>
      <c r="F35" s="35">
        <f>(18.4+5.01*B35)*$M$3</f>
        <v>37.569385945945939</v>
      </c>
      <c r="G35" s="35"/>
      <c r="H35" s="35"/>
      <c r="I35" s="44">
        <v>40.4</v>
      </c>
      <c r="J35" s="44"/>
      <c r="K35" s="44"/>
      <c r="L35" s="44">
        <v>40.299999999999997</v>
      </c>
      <c r="M35" s="44"/>
      <c r="N35" s="44"/>
      <c r="O35" s="35">
        <f>AVERAGE(I35:N35)</f>
        <v>40.349999999999994</v>
      </c>
      <c r="P35" s="35"/>
      <c r="Q35" s="35"/>
      <c r="R35" s="35"/>
    </row>
    <row r="36" spans="2:24" ht="18" customHeight="1">
      <c r="B36" s="47">
        <v>5</v>
      </c>
      <c r="C36" s="47"/>
      <c r="D36" s="47"/>
      <c r="E36" s="47"/>
      <c r="F36" s="48">
        <f>(18.4+5.01*B36)*$M$3</f>
        <v>42.465916216216208</v>
      </c>
      <c r="G36" s="48"/>
      <c r="H36" s="48"/>
      <c r="I36" s="45">
        <v>48.3</v>
      </c>
      <c r="J36" s="45"/>
      <c r="K36" s="45"/>
      <c r="L36" s="45">
        <v>47.8</v>
      </c>
      <c r="M36" s="45"/>
      <c r="N36" s="45"/>
      <c r="O36" s="48">
        <f>AVERAGE(I36:N36)</f>
        <v>48.05</v>
      </c>
      <c r="P36" s="48"/>
      <c r="Q36" s="48"/>
      <c r="R36" s="48"/>
    </row>
    <row r="39" spans="2:24" ht="18" customHeight="1">
      <c r="B39" s="1" t="s">
        <v>91</v>
      </c>
      <c r="C39" s="1"/>
      <c r="D39" s="1"/>
      <c r="E39" s="1"/>
    </row>
    <row r="40" spans="2:24" ht="18" customHeight="1">
      <c r="B40" s="51" t="s">
        <v>38</v>
      </c>
      <c r="C40" s="52"/>
      <c r="D40" s="52"/>
      <c r="E40" s="52"/>
      <c r="F40" s="32" t="s">
        <v>39</v>
      </c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</row>
    <row r="41" spans="2:24" ht="18" customHeight="1">
      <c r="B41" s="53"/>
      <c r="C41" s="44"/>
      <c r="D41" s="44"/>
      <c r="E41" s="44"/>
      <c r="F41" s="33" t="s">
        <v>89</v>
      </c>
      <c r="G41" s="33"/>
      <c r="H41" s="33"/>
      <c r="I41" s="33"/>
      <c r="J41" s="33"/>
      <c r="K41" s="33"/>
      <c r="L41" s="33"/>
      <c r="M41" s="33"/>
      <c r="N41" s="33"/>
      <c r="O41" s="1"/>
      <c r="P41" s="33" t="s">
        <v>90</v>
      </c>
      <c r="Q41" s="33"/>
      <c r="R41" s="33"/>
      <c r="S41" s="33"/>
      <c r="T41" s="33"/>
      <c r="U41" s="33"/>
      <c r="V41" s="33"/>
      <c r="W41" s="33"/>
      <c r="X41" s="33"/>
    </row>
    <row r="42" spans="2:24" ht="18" customHeight="1">
      <c r="B42" s="44"/>
      <c r="C42" s="44"/>
      <c r="D42" s="44"/>
      <c r="E42" s="44"/>
      <c r="F42" s="36" t="s">
        <v>27</v>
      </c>
      <c r="G42" s="36"/>
      <c r="H42" s="36"/>
      <c r="I42" s="36" t="s">
        <v>28</v>
      </c>
      <c r="J42" s="36"/>
      <c r="K42" s="36"/>
      <c r="L42" s="36" t="s">
        <v>47</v>
      </c>
      <c r="M42" s="36"/>
      <c r="N42" s="36"/>
      <c r="O42" s="1"/>
      <c r="P42" s="36" t="s">
        <v>27</v>
      </c>
      <c r="Q42" s="36"/>
      <c r="R42" s="36"/>
      <c r="S42" s="36" t="s">
        <v>28</v>
      </c>
      <c r="T42" s="36"/>
      <c r="U42" s="36"/>
      <c r="V42" s="36" t="s">
        <v>47</v>
      </c>
      <c r="W42" s="36"/>
      <c r="X42" s="36"/>
    </row>
    <row r="43" spans="2:24" ht="18" customHeight="1">
      <c r="B43" s="37">
        <v>0.4</v>
      </c>
      <c r="C43" s="37"/>
      <c r="D43" s="37"/>
      <c r="E43" s="37"/>
      <c r="F43" s="37">
        <v>5.7</v>
      </c>
      <c r="G43" s="37"/>
      <c r="H43" s="37"/>
      <c r="I43" s="37">
        <v>6.9</v>
      </c>
      <c r="J43" s="37"/>
      <c r="K43" s="37"/>
      <c r="L43" s="38">
        <f>AVERAGE(F43:K43)</f>
        <v>6.3000000000000007</v>
      </c>
      <c r="M43" s="38"/>
      <c r="N43" s="38"/>
      <c r="O43" s="21"/>
      <c r="P43" s="37">
        <v>7.2</v>
      </c>
      <c r="Q43" s="37"/>
      <c r="R43" s="37"/>
      <c r="S43" s="37">
        <v>7.2</v>
      </c>
      <c r="T43" s="37"/>
      <c r="U43" s="37"/>
      <c r="V43" s="38">
        <f>AVERAGE(P43:U43)</f>
        <v>7.2</v>
      </c>
      <c r="W43" s="38"/>
      <c r="X43" s="38"/>
    </row>
    <row r="44" spans="2:24" ht="18" customHeight="1">
      <c r="B44" s="34">
        <v>0.7</v>
      </c>
      <c r="C44" s="34"/>
      <c r="D44" s="34"/>
      <c r="E44" s="34"/>
      <c r="F44" s="34">
        <v>7.2</v>
      </c>
      <c r="G44" s="34"/>
      <c r="H44" s="34"/>
      <c r="I44" s="34">
        <v>6.9</v>
      </c>
      <c r="J44" s="34"/>
      <c r="K44" s="34"/>
      <c r="L44" s="35">
        <f>AVERAGE(F44:K44)</f>
        <v>7.0500000000000007</v>
      </c>
      <c r="M44" s="35"/>
      <c r="N44" s="35"/>
      <c r="O44" s="1"/>
      <c r="P44" s="34">
        <v>12.6</v>
      </c>
      <c r="Q44" s="34"/>
      <c r="R44" s="34"/>
      <c r="S44" s="34">
        <v>12.5</v>
      </c>
      <c r="T44" s="34"/>
      <c r="U44" s="34"/>
      <c r="V44" s="35">
        <f>AVERAGE(P44:U44)</f>
        <v>12.55</v>
      </c>
      <c r="W44" s="35"/>
      <c r="X44" s="35"/>
    </row>
    <row r="45" spans="2:24" ht="18" customHeight="1">
      <c r="B45" s="34">
        <v>1</v>
      </c>
      <c r="C45" s="34"/>
      <c r="D45" s="34"/>
      <c r="E45" s="34"/>
      <c r="F45" s="34">
        <v>10.4</v>
      </c>
      <c r="G45" s="34"/>
      <c r="H45" s="34"/>
      <c r="I45" s="34">
        <v>10.9</v>
      </c>
      <c r="J45" s="34"/>
      <c r="K45" s="34"/>
      <c r="L45" s="35">
        <f>AVERAGE(F45:K45)</f>
        <v>10.65</v>
      </c>
      <c r="M45" s="35"/>
      <c r="N45" s="35"/>
      <c r="O45" s="1"/>
      <c r="P45" s="34">
        <v>18.5</v>
      </c>
      <c r="Q45" s="34"/>
      <c r="R45" s="34"/>
      <c r="S45" s="34">
        <v>18.3</v>
      </c>
      <c r="T45" s="34"/>
      <c r="U45" s="34"/>
      <c r="V45" s="35">
        <f>AVERAGE(P45:U45)</f>
        <v>18.399999999999999</v>
      </c>
      <c r="W45" s="35"/>
      <c r="X45" s="35"/>
    </row>
    <row r="46" spans="2:24" ht="18" customHeight="1">
      <c r="B46" s="34">
        <v>1.3</v>
      </c>
      <c r="C46" s="34"/>
      <c r="D46" s="34"/>
      <c r="E46" s="34"/>
      <c r="F46" s="34">
        <v>14.7</v>
      </c>
      <c r="G46" s="34"/>
      <c r="H46" s="34"/>
      <c r="I46" s="34">
        <v>15</v>
      </c>
      <c r="J46" s="34"/>
      <c r="K46" s="34"/>
      <c r="L46" s="35">
        <f>AVERAGE(F46:K46)</f>
        <v>14.85</v>
      </c>
      <c r="M46" s="35"/>
      <c r="N46" s="35"/>
      <c r="O46" s="1"/>
      <c r="P46" s="34">
        <v>25</v>
      </c>
      <c r="Q46" s="34"/>
      <c r="R46" s="34"/>
      <c r="S46" s="34">
        <v>25</v>
      </c>
      <c r="T46" s="34"/>
      <c r="U46" s="34"/>
      <c r="V46" s="35">
        <f>AVERAGE(P46:U46)</f>
        <v>25</v>
      </c>
      <c r="W46" s="35"/>
      <c r="X46" s="35"/>
    </row>
    <row r="47" spans="2:24" ht="18" customHeight="1">
      <c r="B47" s="30">
        <v>1.6</v>
      </c>
      <c r="C47" s="30"/>
      <c r="D47" s="30"/>
      <c r="E47" s="30"/>
      <c r="F47" s="30">
        <v>17.8</v>
      </c>
      <c r="G47" s="30"/>
      <c r="H47" s="30"/>
      <c r="I47" s="30">
        <v>18.2</v>
      </c>
      <c r="J47" s="30"/>
      <c r="K47" s="30"/>
      <c r="L47" s="31">
        <f>AVERAGE(F47:K47)</f>
        <v>18</v>
      </c>
      <c r="M47" s="31"/>
      <c r="N47" s="31"/>
      <c r="O47" s="22"/>
      <c r="P47" s="30">
        <v>32</v>
      </c>
      <c r="Q47" s="30"/>
      <c r="R47" s="30"/>
      <c r="S47" s="30">
        <v>31.9</v>
      </c>
      <c r="T47" s="30"/>
      <c r="U47" s="30"/>
      <c r="V47" s="31">
        <f>AVERAGE(P47:U47)</f>
        <v>31.95</v>
      </c>
      <c r="W47" s="31"/>
      <c r="X47" s="31"/>
    </row>
  </sheetData>
  <mergeCells count="155">
    <mergeCell ref="B43:E43"/>
    <mergeCell ref="B44:E44"/>
    <mergeCell ref="B45:E45"/>
    <mergeCell ref="B46:E46"/>
    <mergeCell ref="B47:E47"/>
    <mergeCell ref="F42:H42"/>
    <mergeCell ref="I42:K42"/>
    <mergeCell ref="L42:N42"/>
    <mergeCell ref="F43:H43"/>
    <mergeCell ref="F46:H46"/>
    <mergeCell ref="I46:K46"/>
    <mergeCell ref="L46:N46"/>
    <mergeCell ref="F47:H47"/>
    <mergeCell ref="I47:K47"/>
    <mergeCell ref="L47:N47"/>
    <mergeCell ref="I43:K43"/>
    <mergeCell ref="L43:N43"/>
    <mergeCell ref="F44:H44"/>
    <mergeCell ref="I44:K44"/>
    <mergeCell ref="L44:N44"/>
    <mergeCell ref="F45:H45"/>
    <mergeCell ref="I45:K45"/>
    <mergeCell ref="L45:N45"/>
    <mergeCell ref="B40:E42"/>
    <mergeCell ref="B36:E36"/>
    <mergeCell ref="F36:H36"/>
    <mergeCell ref="I36:K36"/>
    <mergeCell ref="L36:N36"/>
    <mergeCell ref="O36:R36"/>
    <mergeCell ref="B34:E34"/>
    <mergeCell ref="F34:H34"/>
    <mergeCell ref="I34:K34"/>
    <mergeCell ref="L34:N34"/>
    <mergeCell ref="O34:R34"/>
    <mergeCell ref="B35:E35"/>
    <mergeCell ref="F35:H35"/>
    <mergeCell ref="I35:K35"/>
    <mergeCell ref="L35:N35"/>
    <mergeCell ref="O35:R35"/>
    <mergeCell ref="I32:K32"/>
    <mergeCell ref="L32:N32"/>
    <mergeCell ref="O32:R32"/>
    <mergeCell ref="B33:E33"/>
    <mergeCell ref="F33:H33"/>
    <mergeCell ref="I33:K33"/>
    <mergeCell ref="L33:N33"/>
    <mergeCell ref="O33:R33"/>
    <mergeCell ref="B29:E31"/>
    <mergeCell ref="F29:R29"/>
    <mergeCell ref="F30:H31"/>
    <mergeCell ref="I30:R30"/>
    <mergeCell ref="I31:K31"/>
    <mergeCell ref="L31:N31"/>
    <mergeCell ref="O31:R31"/>
    <mergeCell ref="B32:E32"/>
    <mergeCell ref="F32:H32"/>
    <mergeCell ref="S18:U20"/>
    <mergeCell ref="S21:U21"/>
    <mergeCell ref="S22:U22"/>
    <mergeCell ref="S23:U23"/>
    <mergeCell ref="S24:U24"/>
    <mergeCell ref="S25:U25"/>
    <mergeCell ref="B24:E24"/>
    <mergeCell ref="F24:H24"/>
    <mergeCell ref="I24:K24"/>
    <mergeCell ref="L24:N24"/>
    <mergeCell ref="O24:R24"/>
    <mergeCell ref="B25:E25"/>
    <mergeCell ref="F25:H25"/>
    <mergeCell ref="I25:K25"/>
    <mergeCell ref="L25:N25"/>
    <mergeCell ref="O25:R25"/>
    <mergeCell ref="B22:E22"/>
    <mergeCell ref="F22:H22"/>
    <mergeCell ref="I22:K22"/>
    <mergeCell ref="L22:N22"/>
    <mergeCell ref="O22:R22"/>
    <mergeCell ref="B23:E23"/>
    <mergeCell ref="F23:H23"/>
    <mergeCell ref="I23:K23"/>
    <mergeCell ref="B13:E13"/>
    <mergeCell ref="B14:E14"/>
    <mergeCell ref="F13:H13"/>
    <mergeCell ref="F14:H14"/>
    <mergeCell ref="L23:N23"/>
    <mergeCell ref="O23:R23"/>
    <mergeCell ref="L20:N20"/>
    <mergeCell ref="O20:R20"/>
    <mergeCell ref="B21:E21"/>
    <mergeCell ref="F21:H21"/>
    <mergeCell ref="I21:K21"/>
    <mergeCell ref="L21:N21"/>
    <mergeCell ref="O21:R21"/>
    <mergeCell ref="B18:E20"/>
    <mergeCell ref="F18:R18"/>
    <mergeCell ref="F19:H20"/>
    <mergeCell ref="I19:R19"/>
    <mergeCell ref="I20:K20"/>
    <mergeCell ref="O13:R13"/>
    <mergeCell ref="I13:K13"/>
    <mergeCell ref="I14:K14"/>
    <mergeCell ref="L12:N12"/>
    <mergeCell ref="L13:N13"/>
    <mergeCell ref="L14:N14"/>
    <mergeCell ref="O14:R14"/>
    <mergeCell ref="L10:N10"/>
    <mergeCell ref="F10:H10"/>
    <mergeCell ref="O12:R12"/>
    <mergeCell ref="I11:K11"/>
    <mergeCell ref="I12:K12"/>
    <mergeCell ref="B2:D2"/>
    <mergeCell ref="E2:H2"/>
    <mergeCell ref="I2:L2"/>
    <mergeCell ref="F7:R7"/>
    <mergeCell ref="I8:R8"/>
    <mergeCell ref="B10:E10"/>
    <mergeCell ref="I10:K10"/>
    <mergeCell ref="F11:H11"/>
    <mergeCell ref="F12:H12"/>
    <mergeCell ref="B3:D3"/>
    <mergeCell ref="E3:H3"/>
    <mergeCell ref="I3:L3"/>
    <mergeCell ref="M2:S2"/>
    <mergeCell ref="M3:S3"/>
    <mergeCell ref="B7:E9"/>
    <mergeCell ref="F8:H9"/>
    <mergeCell ref="I9:K9"/>
    <mergeCell ref="L9:N9"/>
    <mergeCell ref="O9:R9"/>
    <mergeCell ref="O10:R10"/>
    <mergeCell ref="O11:R11"/>
    <mergeCell ref="B11:E11"/>
    <mergeCell ref="B12:E12"/>
    <mergeCell ref="L11:N11"/>
    <mergeCell ref="P47:R47"/>
    <mergeCell ref="S47:U47"/>
    <mergeCell ref="V47:X47"/>
    <mergeCell ref="F40:X40"/>
    <mergeCell ref="F41:N41"/>
    <mergeCell ref="P41:X41"/>
    <mergeCell ref="P44:R44"/>
    <mergeCell ref="S44:U44"/>
    <mergeCell ref="V44:X44"/>
    <mergeCell ref="P45:R45"/>
    <mergeCell ref="S45:U45"/>
    <mergeCell ref="V45:X45"/>
    <mergeCell ref="P46:R46"/>
    <mergeCell ref="S46:U46"/>
    <mergeCell ref="V46:X46"/>
    <mergeCell ref="P42:R42"/>
    <mergeCell ref="S42:U42"/>
    <mergeCell ref="V42:X42"/>
    <mergeCell ref="P43:R43"/>
    <mergeCell ref="S43:U43"/>
    <mergeCell ref="V43:X43"/>
  </mergeCells>
  <phoneticPr fontId="1"/>
  <pageMargins left="0.7" right="0.7" top="0.75" bottom="0.75" header="0.3" footer="0.3"/>
  <ignoredErrors>
    <ignoredError sqref="L43:N47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78103-2109-423C-8068-7DACE7917A35}">
  <dimension ref="A2:V36"/>
  <sheetViews>
    <sheetView showGridLines="0" workbookViewId="0">
      <selection activeCell="AJ17" sqref="AJ17"/>
    </sheetView>
  </sheetViews>
  <sheetFormatPr defaultRowHeight="18" customHeight="1"/>
  <cols>
    <col min="1" max="1" width="7.5" style="23" customWidth="1"/>
    <col min="2" max="35" width="2.5" style="23" customWidth="1"/>
    <col min="36" max="16384" width="9" style="23"/>
  </cols>
  <sheetData>
    <row r="2" spans="1:22" ht="18" customHeight="1">
      <c r="B2" s="23" t="s">
        <v>44</v>
      </c>
    </row>
    <row r="3" spans="1:22" ht="18" customHeight="1">
      <c r="B3" s="54" t="s">
        <v>40</v>
      </c>
      <c r="C3" s="54"/>
      <c r="D3" s="54"/>
      <c r="E3" s="54" t="s">
        <v>53</v>
      </c>
      <c r="F3" s="54"/>
      <c r="G3" s="54"/>
      <c r="H3" s="54" t="s">
        <v>42</v>
      </c>
      <c r="I3" s="54"/>
      <c r="J3" s="54"/>
      <c r="K3" s="54" t="s">
        <v>43</v>
      </c>
      <c r="L3" s="54"/>
      <c r="M3" s="54"/>
      <c r="N3" s="54" t="s">
        <v>54</v>
      </c>
      <c r="O3" s="54"/>
      <c r="P3" s="54"/>
      <c r="Q3" s="54" t="s">
        <v>45</v>
      </c>
      <c r="R3" s="54"/>
      <c r="S3" s="54"/>
      <c r="T3" s="54"/>
      <c r="U3" s="54"/>
      <c r="V3" s="54"/>
    </row>
    <row r="4" spans="1:22" ht="18" customHeight="1"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</row>
    <row r="5" spans="1:22" ht="18" customHeight="1">
      <c r="B5" s="66">
        <v>50.1</v>
      </c>
      <c r="C5" s="66"/>
      <c r="D5" s="66"/>
      <c r="E5" s="67">
        <v>48.4</v>
      </c>
      <c r="F5" s="67"/>
      <c r="G5" s="67"/>
      <c r="H5" s="66">
        <v>50.1</v>
      </c>
      <c r="I5" s="66"/>
      <c r="J5" s="66"/>
      <c r="K5" s="67">
        <v>44.6</v>
      </c>
      <c r="L5" s="67"/>
      <c r="M5" s="67"/>
      <c r="N5" s="67">
        <v>46.2</v>
      </c>
      <c r="O5" s="67"/>
      <c r="P5" s="67"/>
      <c r="Q5" s="56">
        <f>AVERAGE(E5,H5,K5,N5)</f>
        <v>47.325000000000003</v>
      </c>
      <c r="R5" s="56"/>
      <c r="S5" s="56"/>
      <c r="T5" s="56"/>
      <c r="U5" s="56"/>
      <c r="V5" s="56"/>
    </row>
    <row r="7" spans="1:22" ht="18" customHeight="1">
      <c r="C7" s="23" t="s">
        <v>52</v>
      </c>
    </row>
    <row r="8" spans="1:22" ht="18" customHeight="1">
      <c r="A8" s="23" t="s">
        <v>92</v>
      </c>
      <c r="C8" s="24" t="s">
        <v>51</v>
      </c>
      <c r="D8" s="60">
        <v>0.25</v>
      </c>
      <c r="E8" s="60"/>
      <c r="F8" s="60"/>
    </row>
    <row r="9" spans="1:22" ht="18" customHeight="1">
      <c r="C9" s="24" t="s">
        <v>50</v>
      </c>
      <c r="D9" s="60">
        <v>0.5</v>
      </c>
      <c r="E9" s="60"/>
      <c r="F9" s="60"/>
    </row>
    <row r="10" spans="1:22" ht="18" customHeight="1">
      <c r="C10" s="24" t="s">
        <v>48</v>
      </c>
      <c r="D10" s="61">
        <f>Q5/(POWER(D8,D9))</f>
        <v>94.65</v>
      </c>
      <c r="E10" s="61"/>
      <c r="F10" s="61"/>
    </row>
    <row r="11" spans="1:22" ht="18" customHeight="1">
      <c r="A11" s="23" t="s">
        <v>93</v>
      </c>
      <c r="C11" s="24" t="s">
        <v>49</v>
      </c>
      <c r="D11" s="61">
        <f>D10*(POWER(1,D9))</f>
        <v>94.65</v>
      </c>
      <c r="E11" s="61"/>
      <c r="F11" s="61"/>
    </row>
    <row r="14" spans="1:22" ht="18" customHeight="1">
      <c r="B14" s="23" t="s">
        <v>57</v>
      </c>
    </row>
    <row r="15" spans="1:22" ht="18" customHeight="1">
      <c r="B15" s="58" t="s">
        <v>40</v>
      </c>
      <c r="C15" s="58"/>
      <c r="D15" s="58"/>
      <c r="E15" s="58" t="s">
        <v>41</v>
      </c>
      <c r="F15" s="58"/>
      <c r="G15" s="58"/>
      <c r="H15" s="58" t="s">
        <v>55</v>
      </c>
      <c r="I15" s="58"/>
      <c r="J15" s="58"/>
      <c r="K15" s="58" t="s">
        <v>46</v>
      </c>
      <c r="L15" s="58"/>
      <c r="M15" s="58"/>
      <c r="N15" s="58"/>
      <c r="O15" s="58"/>
      <c r="P15" s="58"/>
      <c r="Q15" s="58"/>
    </row>
    <row r="16" spans="1:22" ht="18" customHeight="1"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</row>
    <row r="17" spans="1:20" ht="18" customHeight="1">
      <c r="B17" s="68">
        <v>42.4</v>
      </c>
      <c r="C17" s="68"/>
      <c r="D17" s="68"/>
      <c r="E17" s="68">
        <v>44.2</v>
      </c>
      <c r="F17" s="68"/>
      <c r="G17" s="68"/>
      <c r="H17" s="68">
        <f>AVERAGE(B17,E17)</f>
        <v>43.3</v>
      </c>
      <c r="I17" s="68"/>
      <c r="J17" s="68"/>
      <c r="K17" s="57">
        <f>SQRT(2)*H17</f>
        <v>61.235447250755016</v>
      </c>
      <c r="L17" s="57"/>
      <c r="M17" s="57"/>
      <c r="N17" s="57"/>
      <c r="O17" s="57"/>
      <c r="P17" s="57"/>
      <c r="Q17" s="57"/>
    </row>
    <row r="19" spans="1:20" ht="18" customHeight="1">
      <c r="C19" s="23" t="s">
        <v>52</v>
      </c>
    </row>
    <row r="20" spans="1:20" ht="18" customHeight="1">
      <c r="A20" s="23" t="s">
        <v>92</v>
      </c>
      <c r="C20" s="24" t="s">
        <v>51</v>
      </c>
      <c r="D20" s="60">
        <v>0.1</v>
      </c>
      <c r="E20" s="60"/>
      <c r="F20" s="60"/>
    </row>
    <row r="21" spans="1:20" ht="18" customHeight="1">
      <c r="C21" s="24" t="s">
        <v>50</v>
      </c>
      <c r="D21" s="60">
        <v>0.6</v>
      </c>
      <c r="E21" s="60"/>
      <c r="F21" s="60"/>
    </row>
    <row r="22" spans="1:20" ht="18" customHeight="1">
      <c r="C22" s="24" t="s">
        <v>48</v>
      </c>
      <c r="D22" s="61">
        <f>K17/(POWER(D20,D21))</f>
        <v>243.78270642576007</v>
      </c>
      <c r="E22" s="61"/>
      <c r="F22" s="61"/>
    </row>
    <row r="23" spans="1:20" ht="18" customHeight="1">
      <c r="A23" s="23" t="s">
        <v>93</v>
      </c>
      <c r="C23" s="24" t="s">
        <v>49</v>
      </c>
      <c r="D23" s="61">
        <f>D22*(POWER(1,D21))</f>
        <v>243.78270642576007</v>
      </c>
      <c r="E23" s="61"/>
      <c r="F23" s="61"/>
    </row>
    <row r="26" spans="1:20" ht="18" customHeight="1">
      <c r="B26" s="23" t="s">
        <v>56</v>
      </c>
    </row>
    <row r="27" spans="1:20" ht="18" customHeight="1">
      <c r="B27" s="70"/>
      <c r="C27" s="70"/>
      <c r="D27" s="70"/>
      <c r="E27" s="70"/>
      <c r="F27" s="70"/>
      <c r="G27" s="54" t="s">
        <v>83</v>
      </c>
      <c r="H27" s="54"/>
      <c r="I27" s="54"/>
      <c r="J27" s="54"/>
      <c r="K27" s="54" t="s">
        <v>84</v>
      </c>
      <c r="L27" s="54"/>
      <c r="M27" s="54"/>
      <c r="N27" s="54"/>
      <c r="O27" s="54" t="s">
        <v>85</v>
      </c>
      <c r="P27" s="54"/>
      <c r="Q27" s="54"/>
      <c r="R27" s="54"/>
      <c r="S27" s="54"/>
      <c r="T27" s="54"/>
    </row>
    <row r="28" spans="1:20" ht="18" customHeight="1">
      <c r="B28" s="71"/>
      <c r="C28" s="71"/>
      <c r="D28" s="71"/>
      <c r="E28" s="71"/>
      <c r="F28" s="71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</row>
    <row r="29" spans="1:20" ht="18" customHeight="1">
      <c r="B29" s="69" t="s">
        <v>58</v>
      </c>
      <c r="C29" s="69"/>
      <c r="D29" s="69"/>
      <c r="E29" s="69"/>
      <c r="F29" s="69"/>
      <c r="G29" s="65">
        <f>気中火花!O12</f>
        <v>29.95</v>
      </c>
      <c r="H29" s="65"/>
      <c r="I29" s="65"/>
      <c r="J29" s="65"/>
      <c r="K29" s="62">
        <f>D11</f>
        <v>94.65</v>
      </c>
      <c r="L29" s="62"/>
      <c r="M29" s="62"/>
      <c r="N29" s="62"/>
      <c r="O29" s="64">
        <f>D23</f>
        <v>243.78270642576007</v>
      </c>
      <c r="P29" s="64"/>
      <c r="Q29" s="64"/>
      <c r="R29" s="64"/>
      <c r="S29" s="64"/>
      <c r="T29" s="64"/>
    </row>
    <row r="30" spans="1:20" ht="18" customHeight="1">
      <c r="B30" s="67" t="s">
        <v>59</v>
      </c>
      <c r="C30" s="67"/>
      <c r="D30" s="67"/>
      <c r="E30" s="67"/>
      <c r="F30" s="67"/>
      <c r="G30" s="63">
        <f>G29/$G$29</f>
        <v>1</v>
      </c>
      <c r="H30" s="63"/>
      <c r="I30" s="63"/>
      <c r="J30" s="63"/>
      <c r="K30" s="63">
        <f>K29/$G$29</f>
        <v>3.1602671118530887</v>
      </c>
      <c r="L30" s="63"/>
      <c r="M30" s="63"/>
      <c r="N30" s="63"/>
      <c r="O30" s="63">
        <f>O29/$G$29</f>
        <v>8.1396563080387345</v>
      </c>
      <c r="P30" s="63"/>
      <c r="Q30" s="63"/>
      <c r="R30" s="63"/>
      <c r="S30" s="63"/>
      <c r="T30" s="63"/>
    </row>
    <row r="35" spans="3:4" ht="18" customHeight="1">
      <c r="C35" s="25"/>
      <c r="D35" s="25"/>
    </row>
    <row r="36" spans="3:4" ht="18" customHeight="1">
      <c r="C36" s="25"/>
      <c r="D36" s="25"/>
    </row>
  </sheetData>
  <mergeCells count="41">
    <mergeCell ref="D22:F22"/>
    <mergeCell ref="D23:F23"/>
    <mergeCell ref="B29:F29"/>
    <mergeCell ref="B30:F30"/>
    <mergeCell ref="B27:F27"/>
    <mergeCell ref="B28:F28"/>
    <mergeCell ref="N5:P5"/>
    <mergeCell ref="B15:D16"/>
    <mergeCell ref="N3:P4"/>
    <mergeCell ref="B3:D4"/>
    <mergeCell ref="E3:G4"/>
    <mergeCell ref="H3:J4"/>
    <mergeCell ref="K3:M4"/>
    <mergeCell ref="D21:F21"/>
    <mergeCell ref="B17:D17"/>
    <mergeCell ref="E17:G17"/>
    <mergeCell ref="H17:J17"/>
    <mergeCell ref="K15:Q16"/>
    <mergeCell ref="D20:F20"/>
    <mergeCell ref="K29:N29"/>
    <mergeCell ref="K30:N30"/>
    <mergeCell ref="O29:T29"/>
    <mergeCell ref="O30:T30"/>
    <mergeCell ref="G29:J29"/>
    <mergeCell ref="G30:J30"/>
    <mergeCell ref="Q3:V4"/>
    <mergeCell ref="Q5:V5"/>
    <mergeCell ref="K27:N28"/>
    <mergeCell ref="O27:T28"/>
    <mergeCell ref="G27:J28"/>
    <mergeCell ref="K17:Q17"/>
    <mergeCell ref="E15:G16"/>
    <mergeCell ref="H15:J16"/>
    <mergeCell ref="D8:F8"/>
    <mergeCell ref="D9:F9"/>
    <mergeCell ref="D10:F10"/>
    <mergeCell ref="D11:F11"/>
    <mergeCell ref="B5:D5"/>
    <mergeCell ref="E5:G5"/>
    <mergeCell ref="H5:J5"/>
    <mergeCell ref="K5:M5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CC5CC-4F01-4E05-9E29-2DE28EE01C60}">
  <dimension ref="B2:AE61"/>
  <sheetViews>
    <sheetView showGridLines="0" zoomScaleNormal="100" workbookViewId="0">
      <selection activeCell="B64" sqref="B64:AE78"/>
    </sheetView>
  </sheetViews>
  <sheetFormatPr defaultRowHeight="18" customHeight="1"/>
  <cols>
    <col min="1" max="1" width="9" style="2"/>
    <col min="2" max="2" width="8.125" style="2" customWidth="1"/>
    <col min="3" max="3" width="12.375" style="2" customWidth="1"/>
    <col min="4" max="34" width="1.625" style="2" customWidth="1"/>
    <col min="35" max="16384" width="9" style="2"/>
  </cols>
  <sheetData>
    <row r="2" spans="2:30" ht="18" customHeight="1">
      <c r="B2" s="42" t="s">
        <v>86</v>
      </c>
      <c r="C2" s="42" t="s">
        <v>87</v>
      </c>
      <c r="D2" s="39" t="s">
        <v>65</v>
      </c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42" t="s">
        <v>88</v>
      </c>
      <c r="AA2" s="42"/>
      <c r="AB2" s="42"/>
      <c r="AC2" s="42"/>
    </row>
    <row r="3" spans="2:30" ht="18" customHeight="1">
      <c r="B3" s="45"/>
      <c r="C3" s="45"/>
      <c r="D3" s="45">
        <v>1</v>
      </c>
      <c r="E3" s="45"/>
      <c r="F3" s="45">
        <v>2</v>
      </c>
      <c r="G3" s="45"/>
      <c r="H3" s="45">
        <v>3</v>
      </c>
      <c r="I3" s="45"/>
      <c r="J3" s="45">
        <v>4</v>
      </c>
      <c r="K3" s="45"/>
      <c r="L3" s="45">
        <v>5</v>
      </c>
      <c r="M3" s="45"/>
      <c r="N3" s="45">
        <v>6</v>
      </c>
      <c r="O3" s="45"/>
      <c r="P3" s="45">
        <v>7</v>
      </c>
      <c r="Q3" s="45"/>
      <c r="R3" s="45">
        <v>8</v>
      </c>
      <c r="S3" s="45"/>
      <c r="T3" s="45">
        <v>9</v>
      </c>
      <c r="U3" s="45"/>
      <c r="V3" s="45">
        <v>10</v>
      </c>
      <c r="W3" s="45"/>
      <c r="X3" s="45" t="s">
        <v>60</v>
      </c>
      <c r="Y3" s="45"/>
      <c r="Z3" s="76"/>
      <c r="AA3" s="76"/>
      <c r="AB3" s="76"/>
      <c r="AC3" s="76"/>
    </row>
    <row r="4" spans="2:30" ht="18" customHeight="1">
      <c r="B4" s="83">
        <v>27.2</v>
      </c>
      <c r="C4" s="26">
        <f>B4*4*0.846</f>
        <v>92.044799999999995</v>
      </c>
      <c r="D4" s="44" t="s">
        <v>62</v>
      </c>
      <c r="E4" s="44"/>
      <c r="F4" s="44" t="s">
        <v>62</v>
      </c>
      <c r="G4" s="44"/>
      <c r="H4" s="44" t="s">
        <v>62</v>
      </c>
      <c r="I4" s="44"/>
      <c r="J4" s="44" t="s">
        <v>64</v>
      </c>
      <c r="K4" s="44"/>
      <c r="L4" s="44" t="s">
        <v>62</v>
      </c>
      <c r="M4" s="44"/>
      <c r="N4" s="44" t="s">
        <v>64</v>
      </c>
      <c r="O4" s="44"/>
      <c r="P4" s="44" t="s">
        <v>62</v>
      </c>
      <c r="Q4" s="44"/>
      <c r="R4" s="44" t="s">
        <v>62</v>
      </c>
      <c r="S4" s="44"/>
      <c r="T4" s="44" t="s">
        <v>62</v>
      </c>
      <c r="U4" s="44"/>
      <c r="V4" s="44" t="s">
        <v>64</v>
      </c>
      <c r="W4" s="44"/>
      <c r="X4" s="44"/>
      <c r="Y4" s="44"/>
      <c r="Z4" s="80">
        <f>((COUNTIF(D4:W4,"〇"))/(COUNTA(D4:W4)))*100</f>
        <v>30</v>
      </c>
      <c r="AA4" s="80"/>
      <c r="AB4" s="80"/>
      <c r="AC4" s="80"/>
    </row>
    <row r="5" spans="2:30" ht="18" customHeight="1">
      <c r="B5" s="84">
        <v>27.6</v>
      </c>
      <c r="C5" s="27">
        <f>B5*4*0.846</f>
        <v>93.398399999999995</v>
      </c>
      <c r="D5" s="45" t="s">
        <v>63</v>
      </c>
      <c r="E5" s="45"/>
      <c r="F5" s="45" t="s">
        <v>63</v>
      </c>
      <c r="G5" s="45"/>
      <c r="H5" s="45" t="s">
        <v>61</v>
      </c>
      <c r="I5" s="45"/>
      <c r="J5" s="45" t="s">
        <v>63</v>
      </c>
      <c r="K5" s="45"/>
      <c r="L5" s="45" t="s">
        <v>63</v>
      </c>
      <c r="M5" s="45"/>
      <c r="N5" s="45" t="s">
        <v>63</v>
      </c>
      <c r="O5" s="45"/>
      <c r="P5" s="45" t="s">
        <v>61</v>
      </c>
      <c r="Q5" s="45"/>
      <c r="R5" s="45" t="s">
        <v>63</v>
      </c>
      <c r="S5" s="45"/>
      <c r="T5" s="45" t="s">
        <v>63</v>
      </c>
      <c r="U5" s="45"/>
      <c r="V5" s="45" t="s">
        <v>63</v>
      </c>
      <c r="W5" s="45"/>
      <c r="X5" s="45"/>
      <c r="Y5" s="45"/>
      <c r="Z5" s="79">
        <f>((COUNTIF(D5:W5,"〇"))/(COUNTA(D5:W5)))*100</f>
        <v>80</v>
      </c>
      <c r="AA5" s="79"/>
      <c r="AB5" s="79"/>
      <c r="AC5" s="79"/>
    </row>
    <row r="6" spans="2:30" ht="18" customHeight="1">
      <c r="D6" s="2" t="s">
        <v>68</v>
      </c>
      <c r="G6" s="77">
        <f>(Z5-Z4)/(C5-C4)</f>
        <v>36.938534278959807</v>
      </c>
      <c r="H6" s="77"/>
      <c r="I6" s="77"/>
      <c r="J6" s="77"/>
    </row>
    <row r="7" spans="2:30" ht="18" customHeight="1">
      <c r="D7" s="2" t="s">
        <v>69</v>
      </c>
      <c r="G7" s="36">
        <f>Z5-((Z5-Z4)/(C5-C4))*C5</f>
        <v>-3369.9999999999995</v>
      </c>
      <c r="H7" s="36"/>
      <c r="I7" s="36"/>
      <c r="J7" s="36"/>
      <c r="L7" s="1"/>
      <c r="M7" s="1"/>
      <c r="N7" s="1"/>
      <c r="S7" s="1"/>
      <c r="T7" s="1"/>
      <c r="U7" s="1"/>
    </row>
    <row r="8" spans="2:30" ht="18" customHeight="1">
      <c r="B8" s="11"/>
      <c r="C8" s="11"/>
      <c r="D8" s="44">
        <v>50</v>
      </c>
      <c r="E8" s="44"/>
      <c r="F8" s="44" t="s">
        <v>67</v>
      </c>
      <c r="G8" s="44"/>
      <c r="H8" s="44"/>
      <c r="I8" s="44"/>
      <c r="J8" s="44"/>
      <c r="K8" s="44"/>
      <c r="L8" s="44"/>
      <c r="M8" s="44"/>
      <c r="N8" s="44"/>
      <c r="O8" s="44"/>
      <c r="P8" s="34">
        <f>(D8-$G7)/$G6</f>
        <v>92.586240000000004</v>
      </c>
      <c r="Q8" s="34"/>
      <c r="R8" s="34"/>
      <c r="S8" s="44" t="s">
        <v>73</v>
      </c>
      <c r="T8" s="44"/>
      <c r="U8" s="8"/>
      <c r="V8" s="12"/>
      <c r="W8" s="12"/>
      <c r="X8" s="12"/>
      <c r="Y8" s="12"/>
      <c r="Z8" s="12"/>
      <c r="AA8" s="12"/>
      <c r="AB8" s="12"/>
      <c r="AC8" s="12"/>
    </row>
    <row r="9" spans="2:30" ht="18" customHeight="1">
      <c r="B9" s="11"/>
      <c r="C9" s="11"/>
      <c r="D9" s="13" t="s">
        <v>70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4"/>
      <c r="Q9" s="14"/>
      <c r="R9" s="14"/>
      <c r="S9" s="11"/>
      <c r="T9" s="11"/>
      <c r="U9" s="11"/>
      <c r="V9" s="11"/>
      <c r="W9" s="81">
        <f>P8/75</f>
        <v>1.2344832000000001</v>
      </c>
      <c r="X9" s="81"/>
      <c r="Y9" s="81"/>
      <c r="Z9" s="12"/>
      <c r="AA9" s="12"/>
      <c r="AB9" s="12"/>
      <c r="AC9" s="12"/>
    </row>
    <row r="10" spans="2:30" ht="18" customHeight="1">
      <c r="B10" s="11"/>
      <c r="C10" s="11"/>
      <c r="D10" s="13" t="s">
        <v>71</v>
      </c>
      <c r="E10" s="10"/>
      <c r="F10" s="10"/>
      <c r="G10" s="10"/>
      <c r="H10" s="10"/>
      <c r="I10" s="10"/>
      <c r="J10" s="10"/>
      <c r="K10" s="10"/>
      <c r="L10" s="44">
        <v>374</v>
      </c>
      <c r="M10" s="44"/>
      <c r="N10" s="44"/>
      <c r="O10" s="44"/>
      <c r="P10" s="34" t="s">
        <v>72</v>
      </c>
      <c r="Q10" s="34"/>
      <c r="R10" s="14"/>
      <c r="S10" s="11"/>
      <c r="T10" s="11"/>
      <c r="U10" s="11"/>
      <c r="V10" s="11"/>
      <c r="W10" s="15"/>
      <c r="X10" s="15"/>
      <c r="Y10" s="15"/>
      <c r="Z10" s="12"/>
      <c r="AA10" s="12"/>
      <c r="AB10" s="12"/>
      <c r="AC10" s="12"/>
    </row>
    <row r="11" spans="2:30" ht="18" customHeight="1">
      <c r="B11" s="11"/>
      <c r="C11" s="11"/>
      <c r="D11" s="13" t="s">
        <v>74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4"/>
      <c r="Q11" s="14"/>
      <c r="R11" s="14"/>
      <c r="S11" s="11"/>
      <c r="T11" s="11"/>
      <c r="U11" s="11"/>
      <c r="V11" s="11"/>
      <c r="W11" s="16"/>
      <c r="X11" s="16"/>
      <c r="Y11" s="16"/>
      <c r="Z11" s="82">
        <f>P8/L10*1000</f>
        <v>247.5567914438503</v>
      </c>
      <c r="AA11" s="82"/>
      <c r="AB11" s="82"/>
      <c r="AC11" s="2" t="s">
        <v>75</v>
      </c>
    </row>
    <row r="12" spans="2:30" ht="18" customHeight="1">
      <c r="B12" s="11"/>
      <c r="C12" s="11"/>
      <c r="D12" s="44">
        <v>0</v>
      </c>
      <c r="E12" s="44"/>
      <c r="F12" s="44" t="s">
        <v>67</v>
      </c>
      <c r="G12" s="44"/>
      <c r="H12" s="44"/>
      <c r="I12" s="44"/>
      <c r="J12" s="44"/>
      <c r="K12" s="44"/>
      <c r="L12" s="44"/>
      <c r="M12" s="44"/>
      <c r="N12" s="44"/>
      <c r="O12" s="44"/>
      <c r="P12" s="34">
        <f>(D12-$G7)/$G6</f>
        <v>91.232640000000004</v>
      </c>
      <c r="Q12" s="34"/>
      <c r="R12" s="34"/>
      <c r="S12" s="11"/>
      <c r="T12" s="11"/>
      <c r="U12" s="11"/>
      <c r="V12" s="11"/>
      <c r="W12" s="15"/>
      <c r="X12" s="15"/>
      <c r="Y12" s="15"/>
      <c r="Z12" s="12"/>
      <c r="AA12" s="12"/>
      <c r="AB12" s="12"/>
      <c r="AC12" s="12"/>
    </row>
    <row r="13" spans="2:30" ht="18" customHeight="1">
      <c r="B13" s="11"/>
      <c r="C13" s="11"/>
      <c r="D13" s="13" t="s">
        <v>80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4"/>
      <c r="Q13" s="14"/>
      <c r="R13" s="14"/>
      <c r="S13" s="11"/>
      <c r="T13" s="11"/>
      <c r="U13" s="11"/>
      <c r="V13" s="11"/>
      <c r="W13" s="11"/>
      <c r="X13" s="11"/>
      <c r="Y13" s="11"/>
      <c r="Z13" s="11"/>
      <c r="AA13" s="11"/>
      <c r="AB13" s="82">
        <f>P12/気中火花!$I$3</f>
        <v>94.96181618702002</v>
      </c>
      <c r="AC13" s="82"/>
      <c r="AD13" s="82"/>
    </row>
    <row r="14" spans="2:30" ht="18" customHeight="1">
      <c r="B14" s="11"/>
      <c r="C14" s="11"/>
      <c r="D14" s="13" t="s">
        <v>70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4"/>
      <c r="Q14" s="14"/>
      <c r="R14" s="14"/>
      <c r="S14" s="11"/>
      <c r="T14" s="11"/>
      <c r="U14" s="11"/>
      <c r="V14" s="11"/>
      <c r="W14" s="81">
        <f>AB13/75</f>
        <v>1.266157549160267</v>
      </c>
      <c r="X14" s="81"/>
      <c r="Y14" s="81"/>
      <c r="Z14" s="12"/>
      <c r="AA14" s="12"/>
      <c r="AB14" s="12"/>
      <c r="AC14" s="12"/>
    </row>
    <row r="15" spans="2:30" ht="18" customHeight="1">
      <c r="D15" s="17"/>
      <c r="E15" s="17"/>
      <c r="F15" s="17"/>
      <c r="G15" s="17"/>
    </row>
    <row r="16" spans="2:30" ht="18" customHeight="1">
      <c r="B16" s="42" t="s">
        <v>86</v>
      </c>
      <c r="C16" s="42" t="s">
        <v>87</v>
      </c>
      <c r="D16" s="39" t="s">
        <v>65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2" t="s">
        <v>88</v>
      </c>
      <c r="AA16" s="42"/>
      <c r="AB16" s="42"/>
      <c r="AC16" s="42"/>
    </row>
    <row r="17" spans="2:31" ht="18" customHeight="1">
      <c r="B17" s="45"/>
      <c r="C17" s="45"/>
      <c r="D17" s="45">
        <v>1</v>
      </c>
      <c r="E17" s="45"/>
      <c r="F17" s="45">
        <v>2</v>
      </c>
      <c r="G17" s="45"/>
      <c r="H17" s="45">
        <v>3</v>
      </c>
      <c r="I17" s="45"/>
      <c r="J17" s="45">
        <v>4</v>
      </c>
      <c r="K17" s="45"/>
      <c r="L17" s="45">
        <v>5</v>
      </c>
      <c r="M17" s="45"/>
      <c r="N17" s="45">
        <v>6</v>
      </c>
      <c r="O17" s="45"/>
      <c r="P17" s="45">
        <v>7</v>
      </c>
      <c r="Q17" s="45"/>
      <c r="R17" s="45">
        <v>8</v>
      </c>
      <c r="S17" s="45"/>
      <c r="T17" s="45">
        <v>9</v>
      </c>
      <c r="U17" s="45"/>
      <c r="V17" s="45">
        <v>10</v>
      </c>
      <c r="W17" s="45"/>
      <c r="X17" s="45" t="s">
        <v>60</v>
      </c>
      <c r="Y17" s="45"/>
      <c r="Z17" s="76"/>
      <c r="AA17" s="76"/>
      <c r="AB17" s="76"/>
      <c r="AC17" s="76"/>
    </row>
    <row r="18" spans="2:31" ht="18" customHeight="1">
      <c r="B18" s="28">
        <v>27</v>
      </c>
      <c r="C18" s="14">
        <f>B18*4*0.846</f>
        <v>91.367999999999995</v>
      </c>
      <c r="D18" s="44" t="s">
        <v>62</v>
      </c>
      <c r="E18" s="44"/>
      <c r="F18" s="44" t="s">
        <v>62</v>
      </c>
      <c r="G18" s="44"/>
      <c r="H18" s="44" t="s">
        <v>62</v>
      </c>
      <c r="I18" s="44"/>
      <c r="J18" s="44" t="s">
        <v>62</v>
      </c>
      <c r="K18" s="44"/>
      <c r="L18" s="44" t="s">
        <v>62</v>
      </c>
      <c r="M18" s="44"/>
      <c r="N18" s="44" t="s">
        <v>62</v>
      </c>
      <c r="O18" s="44"/>
      <c r="P18" s="44" t="s">
        <v>64</v>
      </c>
      <c r="Q18" s="44"/>
      <c r="R18" s="44" t="s">
        <v>62</v>
      </c>
      <c r="S18" s="44"/>
      <c r="T18" s="44" t="s">
        <v>62</v>
      </c>
      <c r="U18" s="44"/>
      <c r="V18" s="44" t="s">
        <v>62</v>
      </c>
      <c r="W18" s="44"/>
      <c r="X18" s="44"/>
      <c r="Y18" s="44"/>
      <c r="Z18" s="75">
        <f>((COUNTIF(D18:W18,"〇"))/(COUNTA(D18:W18)))*100</f>
        <v>10</v>
      </c>
      <c r="AA18" s="75"/>
      <c r="AB18" s="75"/>
      <c r="AC18" s="75"/>
    </row>
    <row r="19" spans="2:31" ht="18" customHeight="1">
      <c r="B19" s="28">
        <v>27.2</v>
      </c>
      <c r="C19" s="26">
        <f>B19*4*0.846</f>
        <v>92.044799999999995</v>
      </c>
      <c r="D19" s="44" t="s">
        <v>62</v>
      </c>
      <c r="E19" s="44"/>
      <c r="F19" s="44" t="s">
        <v>62</v>
      </c>
      <c r="G19" s="44"/>
      <c r="H19" s="44" t="s">
        <v>62</v>
      </c>
      <c r="I19" s="44"/>
      <c r="J19" s="44" t="s">
        <v>64</v>
      </c>
      <c r="K19" s="44"/>
      <c r="L19" s="44" t="s">
        <v>62</v>
      </c>
      <c r="M19" s="44"/>
      <c r="N19" s="44" t="s">
        <v>64</v>
      </c>
      <c r="O19" s="44"/>
      <c r="P19" s="44" t="s">
        <v>62</v>
      </c>
      <c r="Q19" s="44"/>
      <c r="R19" s="44" t="s">
        <v>62</v>
      </c>
      <c r="S19" s="44"/>
      <c r="T19" s="44" t="s">
        <v>62</v>
      </c>
      <c r="U19" s="44"/>
      <c r="V19" s="44" t="s">
        <v>64</v>
      </c>
      <c r="W19" s="44"/>
      <c r="X19" s="44"/>
      <c r="Y19" s="44"/>
      <c r="Z19" s="73">
        <f>((COUNTIF(D19:W19,"〇"))/(COUNTA(D19:W19)))*100</f>
        <v>30</v>
      </c>
      <c r="AA19" s="73"/>
      <c r="AB19" s="73"/>
      <c r="AC19" s="73"/>
    </row>
    <row r="20" spans="2:31" ht="18" customHeight="1">
      <c r="B20" s="29">
        <v>27.6</v>
      </c>
      <c r="C20" s="27">
        <f>B20*4*0.846</f>
        <v>93.398399999999995</v>
      </c>
      <c r="D20" s="45" t="s">
        <v>63</v>
      </c>
      <c r="E20" s="45"/>
      <c r="F20" s="45" t="s">
        <v>63</v>
      </c>
      <c r="G20" s="45"/>
      <c r="H20" s="45" t="s">
        <v>61</v>
      </c>
      <c r="I20" s="45"/>
      <c r="J20" s="45" t="s">
        <v>63</v>
      </c>
      <c r="K20" s="45"/>
      <c r="L20" s="45" t="s">
        <v>63</v>
      </c>
      <c r="M20" s="45"/>
      <c r="N20" s="45" t="s">
        <v>63</v>
      </c>
      <c r="O20" s="45"/>
      <c r="P20" s="45" t="s">
        <v>61</v>
      </c>
      <c r="Q20" s="45"/>
      <c r="R20" s="45" t="s">
        <v>63</v>
      </c>
      <c r="S20" s="45"/>
      <c r="T20" s="45" t="s">
        <v>63</v>
      </c>
      <c r="U20" s="45"/>
      <c r="V20" s="45" t="s">
        <v>63</v>
      </c>
      <c r="W20" s="45"/>
      <c r="X20" s="45"/>
      <c r="Y20" s="45"/>
      <c r="Z20" s="79">
        <f>((COUNTIF(D20:W20,"〇"))/(COUNTA(D20:W20)))*100</f>
        <v>80</v>
      </c>
      <c r="AA20" s="79"/>
      <c r="AB20" s="79"/>
      <c r="AC20" s="79"/>
    </row>
    <row r="21" spans="2:31" ht="18" customHeight="1">
      <c r="B21" s="11"/>
      <c r="C21" s="11"/>
      <c r="D21" s="2" t="s">
        <v>68</v>
      </c>
      <c r="G21" s="72">
        <f>(Z20-Z19)/(C20-C19)</f>
        <v>36.938534278959807</v>
      </c>
      <c r="H21" s="72"/>
      <c r="I21" s="72"/>
      <c r="J21" s="72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2"/>
      <c r="AE21" s="12"/>
    </row>
    <row r="22" spans="2:31" ht="18" customHeight="1">
      <c r="B22" s="11"/>
      <c r="C22" s="11"/>
      <c r="D22" s="2" t="s">
        <v>69</v>
      </c>
      <c r="G22" s="36">
        <f>Z20-((Z20-Z19)/(C20-C19))*C20</f>
        <v>-3369.9999999999995</v>
      </c>
      <c r="H22" s="36"/>
      <c r="I22" s="36"/>
      <c r="J22" s="36"/>
      <c r="L22" s="1"/>
      <c r="M22" s="1"/>
      <c r="N22" s="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2"/>
      <c r="AE22" s="12"/>
    </row>
    <row r="23" spans="2:31" ht="18" customHeight="1">
      <c r="B23" s="11"/>
      <c r="C23" s="11"/>
      <c r="D23" s="44">
        <v>50</v>
      </c>
      <c r="E23" s="44"/>
      <c r="F23" s="44" t="s">
        <v>67</v>
      </c>
      <c r="G23" s="44"/>
      <c r="H23" s="44"/>
      <c r="I23" s="44"/>
      <c r="J23" s="44"/>
      <c r="K23" s="44"/>
      <c r="L23" s="44"/>
      <c r="M23" s="44"/>
      <c r="N23" s="44"/>
      <c r="O23" s="44"/>
      <c r="P23" s="34">
        <f>(D23-$G22)/$G21</f>
        <v>92.586240000000004</v>
      </c>
      <c r="Q23" s="34"/>
      <c r="R23" s="34"/>
      <c r="S23" s="44" t="s">
        <v>73</v>
      </c>
      <c r="T23" s="4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 spans="2:31" ht="18" customHeight="1">
      <c r="B24" s="11"/>
      <c r="C24" s="11"/>
      <c r="D24" s="13" t="s">
        <v>70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4"/>
      <c r="Q24" s="14"/>
      <c r="R24" s="14"/>
      <c r="S24" s="11"/>
      <c r="T24" s="11"/>
      <c r="U24" s="11"/>
      <c r="V24" s="11"/>
      <c r="W24" s="81">
        <f>P23/75</f>
        <v>1.2344832000000001</v>
      </c>
      <c r="X24" s="81"/>
      <c r="Y24" s="81"/>
      <c r="Z24" s="11"/>
      <c r="AA24" s="11"/>
      <c r="AB24" s="11"/>
      <c r="AC24" s="11"/>
      <c r="AD24" s="11"/>
      <c r="AE24" s="11"/>
    </row>
    <row r="25" spans="2:31" ht="18" customHeight="1">
      <c r="B25" s="11"/>
      <c r="C25" s="11"/>
      <c r="D25" s="13" t="s">
        <v>71</v>
      </c>
      <c r="E25" s="10"/>
      <c r="F25" s="10"/>
      <c r="G25" s="10"/>
      <c r="H25" s="10"/>
      <c r="I25" s="10"/>
      <c r="J25" s="10"/>
      <c r="K25" s="10"/>
      <c r="L25" s="44">
        <v>374</v>
      </c>
      <c r="M25" s="44"/>
      <c r="N25" s="44"/>
      <c r="O25" s="44"/>
      <c r="P25" s="34" t="s">
        <v>72</v>
      </c>
      <c r="Q25" s="34"/>
      <c r="R25" s="14"/>
      <c r="S25" s="11"/>
      <c r="T25" s="11"/>
      <c r="U25" s="11"/>
      <c r="V25" s="11"/>
      <c r="W25" s="15"/>
      <c r="X25" s="15"/>
      <c r="Y25" s="15"/>
      <c r="Z25" s="12"/>
      <c r="AA25" s="12"/>
      <c r="AB25" s="12"/>
      <c r="AC25" s="12"/>
      <c r="AE25" s="11"/>
    </row>
    <row r="26" spans="2:31" ht="18" customHeight="1">
      <c r="B26" s="11"/>
      <c r="C26" s="11"/>
      <c r="D26" s="13" t="s">
        <v>74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4"/>
      <c r="Q26" s="14"/>
      <c r="R26" s="14"/>
      <c r="S26" s="11"/>
      <c r="T26" s="11"/>
      <c r="U26" s="11"/>
      <c r="V26" s="11"/>
      <c r="W26" s="16"/>
      <c r="X26" s="16"/>
      <c r="Y26" s="16"/>
      <c r="Z26" s="82">
        <f>P23/L25*1000</f>
        <v>247.5567914438503</v>
      </c>
      <c r="AA26" s="82"/>
      <c r="AB26" s="82"/>
      <c r="AC26" s="2" t="s">
        <v>75</v>
      </c>
      <c r="AE26" s="11"/>
    </row>
    <row r="27" spans="2:31" ht="18" customHeight="1">
      <c r="B27" s="11"/>
      <c r="C27" s="11"/>
      <c r="D27" s="44">
        <v>0</v>
      </c>
      <c r="E27" s="44"/>
      <c r="F27" s="44" t="s">
        <v>67</v>
      </c>
      <c r="G27" s="44"/>
      <c r="H27" s="44"/>
      <c r="I27" s="44"/>
      <c r="J27" s="44"/>
      <c r="K27" s="44"/>
      <c r="L27" s="44"/>
      <c r="M27" s="44"/>
      <c r="N27" s="44"/>
      <c r="O27" s="44"/>
      <c r="P27" s="34">
        <f>(D27-$G22)/$G21</f>
        <v>91.232640000000004</v>
      </c>
      <c r="Q27" s="34"/>
      <c r="R27" s="34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 spans="2:31" ht="18" customHeight="1">
      <c r="B28" s="11"/>
      <c r="C28" s="11"/>
      <c r="D28" s="13" t="s">
        <v>80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4"/>
      <c r="Q28" s="14"/>
      <c r="R28" s="14"/>
      <c r="S28" s="11"/>
      <c r="T28" s="11"/>
      <c r="U28" s="11"/>
      <c r="V28" s="11"/>
      <c r="W28" s="11"/>
      <c r="X28" s="11"/>
      <c r="Y28" s="11"/>
      <c r="Z28" s="11"/>
      <c r="AA28" s="11"/>
      <c r="AB28" s="82">
        <f>P27/気中火花!$I$3</f>
        <v>94.96181618702002</v>
      </c>
      <c r="AC28" s="82"/>
      <c r="AD28" s="82"/>
      <c r="AE28" s="18"/>
    </row>
    <row r="29" spans="2:31" ht="18" customHeight="1">
      <c r="B29" s="11"/>
      <c r="C29" s="11"/>
      <c r="D29" s="13" t="s">
        <v>70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4"/>
      <c r="Q29" s="14"/>
      <c r="R29" s="14"/>
      <c r="S29" s="11"/>
      <c r="T29" s="11"/>
      <c r="U29" s="11"/>
      <c r="V29" s="11"/>
      <c r="W29" s="81">
        <f>AB28/75</f>
        <v>1.266157549160267</v>
      </c>
      <c r="X29" s="81"/>
      <c r="Y29" s="81"/>
      <c r="Z29" s="11"/>
      <c r="AA29" s="11"/>
      <c r="AB29" s="11"/>
      <c r="AC29" s="11"/>
      <c r="AD29" s="11"/>
      <c r="AE29" s="11"/>
    </row>
    <row r="31" spans="2:31" ht="18" customHeight="1">
      <c r="B31" s="42" t="s">
        <v>86</v>
      </c>
      <c r="C31" s="42" t="s">
        <v>87</v>
      </c>
      <c r="D31" s="39" t="s">
        <v>66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2" t="s">
        <v>88</v>
      </c>
      <c r="AC31" s="42"/>
      <c r="AD31" s="42"/>
      <c r="AE31" s="42"/>
    </row>
    <row r="32" spans="2:31" ht="18" customHeight="1">
      <c r="B32" s="45"/>
      <c r="C32" s="45"/>
      <c r="D32" s="45">
        <v>1</v>
      </c>
      <c r="E32" s="45"/>
      <c r="F32" s="45">
        <v>2</v>
      </c>
      <c r="G32" s="45"/>
      <c r="H32" s="45">
        <v>3</v>
      </c>
      <c r="I32" s="45"/>
      <c r="J32" s="45">
        <v>4</v>
      </c>
      <c r="K32" s="45"/>
      <c r="L32" s="45">
        <v>5</v>
      </c>
      <c r="M32" s="45"/>
      <c r="N32" s="45">
        <v>6</v>
      </c>
      <c r="O32" s="45"/>
      <c r="P32" s="45">
        <v>7</v>
      </c>
      <c r="Q32" s="45"/>
      <c r="R32" s="45">
        <v>8</v>
      </c>
      <c r="S32" s="45"/>
      <c r="T32" s="45">
        <v>9</v>
      </c>
      <c r="U32" s="45"/>
      <c r="V32" s="45">
        <v>10</v>
      </c>
      <c r="W32" s="45"/>
      <c r="X32" s="45">
        <v>11</v>
      </c>
      <c r="Y32" s="45"/>
      <c r="Z32" s="45" t="s">
        <v>60</v>
      </c>
      <c r="AA32" s="45"/>
      <c r="AB32" s="76"/>
      <c r="AC32" s="76"/>
      <c r="AD32" s="76"/>
      <c r="AE32" s="76"/>
    </row>
    <row r="33" spans="2:31" ht="18" customHeight="1">
      <c r="B33" s="28">
        <v>27.2</v>
      </c>
      <c r="C33" s="14">
        <f>B33*4*0.846</f>
        <v>92.044799999999995</v>
      </c>
      <c r="D33" s="44" t="s">
        <v>62</v>
      </c>
      <c r="E33" s="44"/>
      <c r="F33" s="44" t="s">
        <v>62</v>
      </c>
      <c r="G33" s="44"/>
      <c r="H33" s="44" t="s">
        <v>62</v>
      </c>
      <c r="I33" s="44"/>
      <c r="J33" s="44" t="s">
        <v>62</v>
      </c>
      <c r="K33" s="44"/>
      <c r="L33" s="44" t="s">
        <v>64</v>
      </c>
      <c r="M33" s="44"/>
      <c r="N33" s="44" t="s">
        <v>62</v>
      </c>
      <c r="O33" s="44"/>
      <c r="P33" s="44" t="s">
        <v>62</v>
      </c>
      <c r="Q33" s="44"/>
      <c r="R33" s="44" t="s">
        <v>62</v>
      </c>
      <c r="S33" s="44"/>
      <c r="T33" s="44" t="s">
        <v>62</v>
      </c>
      <c r="U33" s="44"/>
      <c r="V33" s="44" t="s">
        <v>62</v>
      </c>
      <c r="W33" s="44"/>
      <c r="X33" s="44" t="s">
        <v>62</v>
      </c>
      <c r="Y33" s="44"/>
      <c r="Z33" s="44"/>
      <c r="AA33" s="44"/>
      <c r="AB33" s="78">
        <f>((COUNTIF(D33:Y33,"〇"))/(COUNTA(D33:Y33)))*100</f>
        <v>9.0909090909090917</v>
      </c>
      <c r="AC33" s="78"/>
      <c r="AD33" s="78"/>
      <c r="AE33" s="78"/>
    </row>
    <row r="34" spans="2:31" ht="18" customHeight="1">
      <c r="B34" s="28">
        <v>27.4</v>
      </c>
      <c r="C34" s="26">
        <f>B34*4*0.846</f>
        <v>92.721599999999995</v>
      </c>
      <c r="D34" s="44" t="s">
        <v>62</v>
      </c>
      <c r="E34" s="44"/>
      <c r="F34" s="44" t="s">
        <v>64</v>
      </c>
      <c r="G34" s="44"/>
      <c r="H34" s="44" t="s">
        <v>62</v>
      </c>
      <c r="I34" s="44"/>
      <c r="J34" s="44" t="s">
        <v>64</v>
      </c>
      <c r="K34" s="44"/>
      <c r="L34" s="44" t="s">
        <v>62</v>
      </c>
      <c r="M34" s="44"/>
      <c r="N34" s="44" t="s">
        <v>64</v>
      </c>
      <c r="O34" s="44"/>
      <c r="P34" s="44" t="s">
        <v>62</v>
      </c>
      <c r="Q34" s="44"/>
      <c r="R34" s="44" t="s">
        <v>64</v>
      </c>
      <c r="S34" s="44"/>
      <c r="T34" s="44" t="s">
        <v>62</v>
      </c>
      <c r="U34" s="44"/>
      <c r="V34" s="44" t="s">
        <v>64</v>
      </c>
      <c r="W34" s="44"/>
      <c r="X34" s="44" t="s">
        <v>62</v>
      </c>
      <c r="Y34" s="44"/>
      <c r="Z34" s="44"/>
      <c r="AA34" s="44"/>
      <c r="AB34" s="73">
        <f>((COUNTIF(D34:Y34,"〇"))/(COUNTA(D34:Y34)))*100</f>
        <v>45.454545454545453</v>
      </c>
      <c r="AC34" s="73"/>
      <c r="AD34" s="73"/>
      <c r="AE34" s="73"/>
    </row>
    <row r="35" spans="2:31" ht="18" customHeight="1">
      <c r="B35" s="29">
        <v>27.8</v>
      </c>
      <c r="C35" s="27">
        <f>B35*4*0.846</f>
        <v>94.075199999999995</v>
      </c>
      <c r="D35" s="45" t="s">
        <v>63</v>
      </c>
      <c r="E35" s="45"/>
      <c r="F35" s="45" t="s">
        <v>63</v>
      </c>
      <c r="G35" s="45"/>
      <c r="H35" s="45" t="s">
        <v>61</v>
      </c>
      <c r="I35" s="45"/>
      <c r="J35" s="45" t="s">
        <v>63</v>
      </c>
      <c r="K35" s="45"/>
      <c r="L35" s="45" t="s">
        <v>63</v>
      </c>
      <c r="M35" s="45"/>
      <c r="N35" s="45" t="s">
        <v>63</v>
      </c>
      <c r="O35" s="45"/>
      <c r="P35" s="45" t="s">
        <v>61</v>
      </c>
      <c r="Q35" s="45"/>
      <c r="R35" s="45" t="s">
        <v>63</v>
      </c>
      <c r="S35" s="45"/>
      <c r="T35" s="45" t="s">
        <v>63</v>
      </c>
      <c r="U35" s="45"/>
      <c r="V35" s="45" t="s">
        <v>63</v>
      </c>
      <c r="W35" s="45"/>
      <c r="X35" s="45"/>
      <c r="Y35" s="45"/>
      <c r="Z35" s="45"/>
      <c r="AA35" s="45"/>
      <c r="AB35" s="79">
        <f>((COUNTIF(D35:Y35,"〇"))/(COUNTA(D35:Y35)))*100</f>
        <v>80</v>
      </c>
      <c r="AC35" s="79"/>
      <c r="AD35" s="79"/>
      <c r="AE35" s="79"/>
    </row>
    <row r="36" spans="2:31" ht="18" customHeight="1">
      <c r="D36" s="2" t="s">
        <v>68</v>
      </c>
      <c r="G36" s="72">
        <f>(AB35-AB34)/(C35-C34)</f>
        <v>25.521169138190412</v>
      </c>
      <c r="H36" s="72"/>
      <c r="I36" s="72"/>
      <c r="J36" s="72"/>
      <c r="S36" s="11"/>
      <c r="T36" s="11"/>
    </row>
    <row r="37" spans="2:31" ht="18" customHeight="1">
      <c r="D37" s="2" t="s">
        <v>69</v>
      </c>
      <c r="G37" s="36">
        <f>AB35-((AB35-AB34)/(C35-C34))*C35</f>
        <v>-2320.9090909090905</v>
      </c>
      <c r="H37" s="36"/>
      <c r="I37" s="36"/>
      <c r="J37" s="36"/>
      <c r="L37" s="1"/>
      <c r="M37" s="1"/>
      <c r="N37" s="1"/>
      <c r="S37" s="11"/>
      <c r="T37" s="11"/>
    </row>
    <row r="38" spans="2:31" ht="18" customHeight="1">
      <c r="D38" s="44">
        <v>50</v>
      </c>
      <c r="E38" s="44"/>
      <c r="F38" s="44" t="s">
        <v>67</v>
      </c>
      <c r="G38" s="44"/>
      <c r="H38" s="44"/>
      <c r="I38" s="44"/>
      <c r="J38" s="44"/>
      <c r="K38" s="44"/>
      <c r="L38" s="44"/>
      <c r="M38" s="44"/>
      <c r="N38" s="44"/>
      <c r="O38" s="44"/>
      <c r="P38" s="34">
        <f>(D38-$G37)/$G36</f>
        <v>92.899705263157884</v>
      </c>
      <c r="Q38" s="34"/>
      <c r="R38" s="34"/>
      <c r="S38" s="44" t="s">
        <v>73</v>
      </c>
      <c r="T38" s="44"/>
    </row>
    <row r="39" spans="2:31" ht="18" customHeight="1">
      <c r="D39" s="13" t="s">
        <v>70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4"/>
      <c r="Q39" s="14"/>
      <c r="R39" s="14"/>
      <c r="S39" s="11"/>
      <c r="T39" s="11"/>
      <c r="U39" s="11"/>
      <c r="V39" s="11"/>
      <c r="W39" s="81">
        <f>P38/75</f>
        <v>1.238662736842105</v>
      </c>
      <c r="X39" s="81"/>
      <c r="Y39" s="81"/>
    </row>
    <row r="40" spans="2:31" ht="18" customHeight="1">
      <c r="B40" s="11"/>
      <c r="C40" s="11"/>
      <c r="D40" s="13" t="s">
        <v>71</v>
      </c>
      <c r="E40" s="10"/>
      <c r="F40" s="10"/>
      <c r="G40" s="10"/>
      <c r="H40" s="10"/>
      <c r="I40" s="10"/>
      <c r="J40" s="10"/>
      <c r="K40" s="10"/>
      <c r="L40" s="44">
        <v>374</v>
      </c>
      <c r="M40" s="44"/>
      <c r="N40" s="44"/>
      <c r="O40" s="44"/>
      <c r="P40" s="34" t="s">
        <v>72</v>
      </c>
      <c r="Q40" s="34"/>
      <c r="R40" s="14"/>
      <c r="S40" s="11"/>
      <c r="T40" s="11"/>
      <c r="U40" s="11"/>
      <c r="V40" s="11"/>
      <c r="W40" s="15"/>
      <c r="X40" s="15"/>
      <c r="Y40" s="15"/>
      <c r="Z40" s="12"/>
      <c r="AA40" s="12"/>
      <c r="AB40" s="12"/>
      <c r="AC40" s="12"/>
      <c r="AE40" s="11"/>
    </row>
    <row r="41" spans="2:31" ht="18" customHeight="1">
      <c r="B41" s="11"/>
      <c r="C41" s="11"/>
      <c r="D41" s="13" t="s">
        <v>74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4"/>
      <c r="Q41" s="14"/>
      <c r="R41" s="14"/>
      <c r="S41" s="11"/>
      <c r="T41" s="11"/>
      <c r="U41" s="11"/>
      <c r="V41" s="11"/>
      <c r="W41" s="16"/>
      <c r="X41" s="16"/>
      <c r="Y41" s="16"/>
      <c r="Z41" s="82">
        <f>P38/L40*1000</f>
        <v>248.39493385871091</v>
      </c>
      <c r="AA41" s="82"/>
      <c r="AB41" s="82"/>
      <c r="AC41" s="2" t="s">
        <v>75</v>
      </c>
      <c r="AE41" s="11"/>
    </row>
    <row r="42" spans="2:31" ht="18" customHeight="1">
      <c r="D42" s="44">
        <v>0</v>
      </c>
      <c r="E42" s="44"/>
      <c r="F42" s="44" t="s">
        <v>67</v>
      </c>
      <c r="G42" s="44"/>
      <c r="H42" s="44"/>
      <c r="I42" s="44"/>
      <c r="J42" s="44"/>
      <c r="K42" s="44"/>
      <c r="L42" s="44"/>
      <c r="M42" s="44"/>
      <c r="N42" s="44"/>
      <c r="O42" s="44"/>
      <c r="P42" s="34">
        <f>(D42-$G37)/$G36</f>
        <v>90.940547368421051</v>
      </c>
      <c r="Q42" s="34"/>
      <c r="R42" s="34"/>
      <c r="S42" s="11"/>
      <c r="T42" s="11"/>
    </row>
    <row r="43" spans="2:31" ht="18" customHeight="1">
      <c r="D43" s="13" t="s">
        <v>80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4"/>
      <c r="Q43" s="14"/>
      <c r="R43" s="14"/>
      <c r="S43" s="11"/>
      <c r="T43" s="11"/>
      <c r="U43" s="11"/>
      <c r="V43" s="11"/>
      <c r="W43" s="11"/>
      <c r="X43" s="11"/>
      <c r="Y43" s="11"/>
      <c r="Z43" s="11"/>
      <c r="AA43" s="11"/>
      <c r="AB43" s="82">
        <f>P42/気中火花!$I$3</f>
        <v>94.657784134570548</v>
      </c>
      <c r="AC43" s="82"/>
      <c r="AD43" s="82"/>
    </row>
    <row r="44" spans="2:31" ht="18" customHeight="1">
      <c r="D44" s="13" t="s">
        <v>70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4"/>
      <c r="Q44" s="14"/>
      <c r="R44" s="14"/>
      <c r="S44" s="11"/>
      <c r="T44" s="11"/>
      <c r="U44" s="11"/>
      <c r="V44" s="11"/>
      <c r="W44" s="81">
        <f>AB43/75</f>
        <v>1.2621037884609407</v>
      </c>
      <c r="X44" s="81"/>
      <c r="Y44" s="81"/>
    </row>
    <row r="46" spans="2:31" ht="18" customHeight="1">
      <c r="D46" s="17"/>
      <c r="E46" s="17"/>
      <c r="F46" s="17"/>
      <c r="G46" s="17"/>
    </row>
    <row r="47" spans="2:31" ht="18" customHeight="1">
      <c r="B47" s="42" t="s">
        <v>86</v>
      </c>
      <c r="C47" s="42" t="s">
        <v>87</v>
      </c>
      <c r="D47" s="39" t="s">
        <v>65</v>
      </c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42" t="s">
        <v>88</v>
      </c>
      <c r="AA47" s="42"/>
      <c r="AB47" s="42"/>
      <c r="AC47" s="42"/>
    </row>
    <row r="48" spans="2:31" ht="18" customHeight="1">
      <c r="B48" s="45"/>
      <c r="C48" s="45"/>
      <c r="D48" s="45">
        <v>1</v>
      </c>
      <c r="E48" s="45"/>
      <c r="F48" s="45">
        <v>2</v>
      </c>
      <c r="G48" s="45"/>
      <c r="H48" s="45">
        <v>3</v>
      </c>
      <c r="I48" s="45"/>
      <c r="J48" s="45">
        <v>4</v>
      </c>
      <c r="K48" s="45"/>
      <c r="L48" s="45">
        <v>5</v>
      </c>
      <c r="M48" s="45"/>
      <c r="N48" s="45">
        <v>6</v>
      </c>
      <c r="O48" s="45"/>
      <c r="P48" s="45">
        <v>7</v>
      </c>
      <c r="Q48" s="45"/>
      <c r="R48" s="45">
        <v>8</v>
      </c>
      <c r="S48" s="45"/>
      <c r="T48" s="45">
        <v>9</v>
      </c>
      <c r="U48" s="45"/>
      <c r="V48" s="45">
        <v>10</v>
      </c>
      <c r="W48" s="45"/>
      <c r="X48" s="45" t="s">
        <v>60</v>
      </c>
      <c r="Y48" s="45"/>
      <c r="Z48" s="76"/>
      <c r="AA48" s="76"/>
      <c r="AB48" s="76"/>
      <c r="AC48" s="76"/>
    </row>
    <row r="49" spans="2:31" ht="18" customHeight="1">
      <c r="B49" s="28">
        <v>27</v>
      </c>
      <c r="C49" s="14">
        <f>B49*4*0.846</f>
        <v>91.367999999999995</v>
      </c>
      <c r="D49" s="44" t="s">
        <v>62</v>
      </c>
      <c r="E49" s="44"/>
      <c r="F49" s="44" t="s">
        <v>62</v>
      </c>
      <c r="G49" s="44"/>
      <c r="H49" s="44" t="s">
        <v>62</v>
      </c>
      <c r="I49" s="44"/>
      <c r="J49" s="44" t="s">
        <v>62</v>
      </c>
      <c r="K49" s="44"/>
      <c r="L49" s="44" t="s">
        <v>62</v>
      </c>
      <c r="M49" s="44"/>
      <c r="N49" s="44" t="s">
        <v>62</v>
      </c>
      <c r="O49" s="44"/>
      <c r="P49" s="44" t="s">
        <v>64</v>
      </c>
      <c r="Q49" s="44"/>
      <c r="R49" s="44" t="s">
        <v>62</v>
      </c>
      <c r="S49" s="44"/>
      <c r="T49" s="44" t="s">
        <v>62</v>
      </c>
      <c r="U49" s="44"/>
      <c r="V49" s="44" t="s">
        <v>62</v>
      </c>
      <c r="W49" s="44"/>
      <c r="X49" s="44"/>
      <c r="Y49" s="44"/>
      <c r="Z49" s="75">
        <f>((COUNTIF(D49:W49,"〇"))/(COUNTA(D49:W49)))*100</f>
        <v>10</v>
      </c>
      <c r="AA49" s="75"/>
      <c r="AB49" s="75"/>
      <c r="AC49" s="75"/>
    </row>
    <row r="50" spans="2:31" ht="18" customHeight="1">
      <c r="B50" s="28">
        <v>27.2</v>
      </c>
      <c r="C50" s="26">
        <f>B50*4*0.846</f>
        <v>92.044799999999995</v>
      </c>
      <c r="D50" s="44" t="s">
        <v>62</v>
      </c>
      <c r="E50" s="44"/>
      <c r="F50" s="44" t="s">
        <v>62</v>
      </c>
      <c r="G50" s="44"/>
      <c r="H50" s="44" t="s">
        <v>62</v>
      </c>
      <c r="I50" s="44"/>
      <c r="J50" s="44" t="s">
        <v>64</v>
      </c>
      <c r="K50" s="44"/>
      <c r="L50" s="44" t="s">
        <v>62</v>
      </c>
      <c r="M50" s="44"/>
      <c r="N50" s="44" t="s">
        <v>64</v>
      </c>
      <c r="O50" s="44"/>
      <c r="P50" s="44" t="s">
        <v>62</v>
      </c>
      <c r="Q50" s="44"/>
      <c r="R50" s="44" t="s">
        <v>62</v>
      </c>
      <c r="S50" s="44"/>
      <c r="T50" s="44" t="s">
        <v>62</v>
      </c>
      <c r="U50" s="44"/>
      <c r="V50" s="44" t="s">
        <v>64</v>
      </c>
      <c r="W50" s="44"/>
      <c r="X50" s="44"/>
      <c r="Y50" s="44"/>
      <c r="Z50" s="73">
        <f>((COUNTIF(D50:W50,"〇"))/(COUNTA(D50:W50)))*100</f>
        <v>30</v>
      </c>
      <c r="AA50" s="73"/>
      <c r="AB50" s="73"/>
      <c r="AC50" s="73"/>
    </row>
    <row r="51" spans="2:31" ht="18" customHeight="1">
      <c r="B51" s="28">
        <v>27.6</v>
      </c>
      <c r="C51" s="26">
        <f>B51*4*0.846</f>
        <v>93.398399999999995</v>
      </c>
      <c r="D51" s="44" t="s">
        <v>63</v>
      </c>
      <c r="E51" s="44"/>
      <c r="F51" s="44" t="s">
        <v>63</v>
      </c>
      <c r="G51" s="44"/>
      <c r="H51" s="44" t="s">
        <v>61</v>
      </c>
      <c r="I51" s="44"/>
      <c r="J51" s="44" t="s">
        <v>63</v>
      </c>
      <c r="K51" s="44"/>
      <c r="L51" s="44" t="s">
        <v>63</v>
      </c>
      <c r="M51" s="44"/>
      <c r="N51" s="44" t="s">
        <v>63</v>
      </c>
      <c r="O51" s="44"/>
      <c r="P51" s="44" t="s">
        <v>61</v>
      </c>
      <c r="Q51" s="44"/>
      <c r="R51" s="44" t="s">
        <v>63</v>
      </c>
      <c r="S51" s="44"/>
      <c r="T51" s="44" t="s">
        <v>63</v>
      </c>
      <c r="U51" s="44"/>
      <c r="V51" s="44" t="s">
        <v>63</v>
      </c>
      <c r="W51" s="44"/>
      <c r="X51" s="44"/>
      <c r="Y51" s="44"/>
      <c r="Z51" s="73">
        <f>((COUNTIF(D51:W51,"〇"))/(COUNTA(D51:W51)))*100</f>
        <v>80</v>
      </c>
      <c r="AA51" s="73"/>
      <c r="AB51" s="73"/>
      <c r="AC51" s="73"/>
    </row>
    <row r="52" spans="2:31" ht="18" customHeight="1">
      <c r="B52" s="29">
        <v>27.8</v>
      </c>
      <c r="C52" s="20">
        <f>B52*4*0.846</f>
        <v>94.075199999999995</v>
      </c>
      <c r="D52" s="45" t="s">
        <v>63</v>
      </c>
      <c r="E52" s="45"/>
      <c r="F52" s="45" t="s">
        <v>63</v>
      </c>
      <c r="G52" s="45"/>
      <c r="H52" s="45" t="s">
        <v>63</v>
      </c>
      <c r="I52" s="45"/>
      <c r="J52" s="45" t="s">
        <v>63</v>
      </c>
      <c r="K52" s="45"/>
      <c r="L52" s="45" t="s">
        <v>61</v>
      </c>
      <c r="M52" s="45"/>
      <c r="N52" s="45" t="s">
        <v>63</v>
      </c>
      <c r="O52" s="45"/>
      <c r="P52" s="45" t="s">
        <v>63</v>
      </c>
      <c r="Q52" s="45"/>
      <c r="R52" s="45" t="s">
        <v>63</v>
      </c>
      <c r="S52" s="45"/>
      <c r="T52" s="45" t="s">
        <v>63</v>
      </c>
      <c r="U52" s="45"/>
      <c r="V52" s="45" t="s">
        <v>63</v>
      </c>
      <c r="W52" s="45"/>
      <c r="X52" s="45"/>
      <c r="Y52" s="45"/>
      <c r="Z52" s="74">
        <f>((COUNTIF(D52:W52,"〇"))/(COUNTA(D52:W52)))*100</f>
        <v>90</v>
      </c>
      <c r="AA52" s="74"/>
      <c r="AB52" s="74"/>
      <c r="AC52" s="74"/>
    </row>
    <row r="53" spans="2:31" ht="18" customHeight="1">
      <c r="B53" s="11"/>
      <c r="C53" s="11"/>
      <c r="D53" s="2" t="s">
        <v>68</v>
      </c>
      <c r="G53" s="72">
        <f>(Z51-Z50)/(C51-C50)</f>
        <v>36.938534278959807</v>
      </c>
      <c r="H53" s="72"/>
      <c r="I53" s="72"/>
      <c r="J53" s="72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2"/>
      <c r="AE53" s="12"/>
    </row>
    <row r="54" spans="2:31" ht="18" customHeight="1">
      <c r="B54" s="11"/>
      <c r="C54" s="11"/>
      <c r="D54" s="2" t="s">
        <v>69</v>
      </c>
      <c r="G54" s="36">
        <f>Z51-((Z51-Z50)/(C51-C50))*C51</f>
        <v>-3369.9999999999995</v>
      </c>
      <c r="H54" s="36"/>
      <c r="I54" s="36"/>
      <c r="J54" s="36"/>
      <c r="L54" s="1"/>
      <c r="M54" s="1"/>
      <c r="N54" s="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2"/>
      <c r="AE54" s="12"/>
    </row>
    <row r="55" spans="2:31" ht="18" customHeight="1">
      <c r="B55" s="11"/>
      <c r="C55" s="11"/>
      <c r="D55" s="44">
        <v>50</v>
      </c>
      <c r="E55" s="44"/>
      <c r="F55" s="44" t="s">
        <v>67</v>
      </c>
      <c r="G55" s="44"/>
      <c r="H55" s="44"/>
      <c r="I55" s="44"/>
      <c r="J55" s="44"/>
      <c r="K55" s="44"/>
      <c r="L55" s="44"/>
      <c r="M55" s="44"/>
      <c r="N55" s="44"/>
      <c r="O55" s="44"/>
      <c r="P55" s="34">
        <f>(D55-$G54)/$G53</f>
        <v>92.586240000000004</v>
      </c>
      <c r="Q55" s="34"/>
      <c r="R55" s="34"/>
      <c r="S55" s="44" t="s">
        <v>73</v>
      </c>
      <c r="T55" s="4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 spans="2:31" ht="18" customHeight="1">
      <c r="D56" s="13" t="s">
        <v>70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4"/>
      <c r="Q56" s="14"/>
      <c r="R56" s="14"/>
      <c r="S56" s="11"/>
      <c r="T56" s="11"/>
      <c r="U56" s="11"/>
      <c r="V56" s="11"/>
      <c r="W56" s="81">
        <f>P55/75</f>
        <v>1.2344832000000001</v>
      </c>
      <c r="X56" s="81"/>
      <c r="Y56" s="81"/>
    </row>
    <row r="57" spans="2:31" ht="18" customHeight="1">
      <c r="D57" s="13" t="s">
        <v>71</v>
      </c>
      <c r="E57" s="10"/>
      <c r="F57" s="10"/>
      <c r="G57" s="10"/>
      <c r="H57" s="10"/>
      <c r="I57" s="10"/>
      <c r="J57" s="10"/>
      <c r="K57" s="10"/>
      <c r="L57" s="44">
        <v>374</v>
      </c>
      <c r="M57" s="44"/>
      <c r="N57" s="44"/>
      <c r="O57" s="44"/>
      <c r="P57" s="34" t="s">
        <v>72</v>
      </c>
      <c r="Q57" s="34"/>
      <c r="R57" s="14"/>
      <c r="S57" s="11"/>
      <c r="T57" s="11"/>
      <c r="U57" s="11"/>
      <c r="V57" s="11"/>
      <c r="W57" s="15"/>
      <c r="X57" s="15"/>
      <c r="Y57" s="15"/>
      <c r="Z57" s="12"/>
      <c r="AA57" s="12"/>
      <c r="AB57" s="12"/>
      <c r="AC57" s="12"/>
    </row>
    <row r="58" spans="2:31" ht="18" customHeight="1">
      <c r="D58" s="13" t="s">
        <v>74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4"/>
      <c r="Q58" s="14"/>
      <c r="R58" s="14"/>
      <c r="S58" s="11"/>
      <c r="T58" s="11"/>
      <c r="U58" s="11"/>
      <c r="V58" s="11"/>
      <c r="W58" s="16"/>
      <c r="X58" s="16"/>
      <c r="Y58" s="16"/>
      <c r="Z58" s="82">
        <f>P55/L57*1000</f>
        <v>247.5567914438503</v>
      </c>
      <c r="AA58" s="82"/>
      <c r="AB58" s="82"/>
      <c r="AC58" s="2" t="s">
        <v>75</v>
      </c>
    </row>
    <row r="59" spans="2:31" ht="18" customHeight="1">
      <c r="D59" s="44">
        <v>0</v>
      </c>
      <c r="E59" s="44"/>
      <c r="F59" s="44" t="s">
        <v>67</v>
      </c>
      <c r="G59" s="44"/>
      <c r="H59" s="44"/>
      <c r="I59" s="44"/>
      <c r="J59" s="44"/>
      <c r="K59" s="44"/>
      <c r="L59" s="44"/>
      <c r="M59" s="44"/>
      <c r="N59" s="44"/>
      <c r="O59" s="44"/>
      <c r="P59" s="34">
        <f>(D59-$G54)/$G53</f>
        <v>91.232640000000004</v>
      </c>
      <c r="Q59" s="34"/>
      <c r="R59" s="34"/>
      <c r="S59" s="11"/>
      <c r="T59" s="11"/>
      <c r="U59" s="11"/>
      <c r="V59" s="11"/>
      <c r="W59" s="11"/>
      <c r="X59" s="11"/>
      <c r="Y59" s="11"/>
    </row>
    <row r="60" spans="2:31" ht="18" customHeight="1">
      <c r="D60" s="13" t="s">
        <v>80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4"/>
      <c r="Q60" s="14"/>
      <c r="R60" s="14"/>
      <c r="S60" s="11"/>
      <c r="T60" s="11"/>
      <c r="U60" s="11"/>
      <c r="V60" s="11"/>
      <c r="W60" s="11"/>
      <c r="X60" s="11"/>
      <c r="Y60" s="11"/>
      <c r="Z60" s="11"/>
      <c r="AA60" s="11"/>
      <c r="AB60" s="82">
        <f>P59/気中火花!$I$3</f>
        <v>94.96181618702002</v>
      </c>
      <c r="AC60" s="82"/>
      <c r="AD60" s="82"/>
    </row>
    <row r="61" spans="2:31" ht="18" customHeight="1">
      <c r="D61" s="13" t="s">
        <v>70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4"/>
      <c r="Q61" s="14"/>
      <c r="R61" s="14"/>
      <c r="S61" s="11"/>
      <c r="T61" s="11"/>
      <c r="U61" s="11"/>
      <c r="V61" s="11"/>
      <c r="W61" s="81">
        <f>AB60/75</f>
        <v>1.266157549160267</v>
      </c>
      <c r="X61" s="81"/>
      <c r="Y61" s="81"/>
    </row>
  </sheetData>
  <mergeCells count="268">
    <mergeCell ref="S8:T8"/>
    <mergeCell ref="S23:T23"/>
    <mergeCell ref="S38:T38"/>
    <mergeCell ref="S55:T55"/>
    <mergeCell ref="Z11:AB11"/>
    <mergeCell ref="L25:O25"/>
    <mergeCell ref="P25:Q25"/>
    <mergeCell ref="Z26:AB26"/>
    <mergeCell ref="L40:O40"/>
    <mergeCell ref="P40:Q40"/>
    <mergeCell ref="Z41:AB41"/>
    <mergeCell ref="AB28:AD28"/>
    <mergeCell ref="AB43:AD43"/>
    <mergeCell ref="AB13:AD13"/>
    <mergeCell ref="W9:Y9"/>
    <mergeCell ref="L10:O10"/>
    <mergeCell ref="P10:Q10"/>
    <mergeCell ref="X32:Y32"/>
    <mergeCell ref="Z32:AA32"/>
    <mergeCell ref="R32:S32"/>
    <mergeCell ref="T32:U32"/>
    <mergeCell ref="P34:Q34"/>
    <mergeCell ref="R34:S34"/>
    <mergeCell ref="T34:U34"/>
    <mergeCell ref="D59:E59"/>
    <mergeCell ref="F59:O59"/>
    <mergeCell ref="P59:R59"/>
    <mergeCell ref="W61:Y61"/>
    <mergeCell ref="W14:Y14"/>
    <mergeCell ref="L57:O57"/>
    <mergeCell ref="P57:Q57"/>
    <mergeCell ref="Z58:AB58"/>
    <mergeCell ref="AB60:AD60"/>
    <mergeCell ref="W39:Y39"/>
    <mergeCell ref="W56:Y56"/>
    <mergeCell ref="W44:Y44"/>
    <mergeCell ref="Z18:AC18"/>
    <mergeCell ref="Z19:AC19"/>
    <mergeCell ref="Z20:AC20"/>
    <mergeCell ref="V19:W19"/>
    <mergeCell ref="R20:S20"/>
    <mergeCell ref="T20:U20"/>
    <mergeCell ref="V20:W20"/>
    <mergeCell ref="AB31:AE32"/>
    <mergeCell ref="D32:E32"/>
    <mergeCell ref="F32:G32"/>
    <mergeCell ref="H32:I32"/>
    <mergeCell ref="V32:W32"/>
    <mergeCell ref="D12:E12"/>
    <mergeCell ref="F12:O12"/>
    <mergeCell ref="P12:R12"/>
    <mergeCell ref="D27:E27"/>
    <mergeCell ref="F27:O27"/>
    <mergeCell ref="P27:R27"/>
    <mergeCell ref="W29:Y29"/>
    <mergeCell ref="D42:E42"/>
    <mergeCell ref="F42:O42"/>
    <mergeCell ref="P42:R42"/>
    <mergeCell ref="D38:E38"/>
    <mergeCell ref="F38:O38"/>
    <mergeCell ref="P38:R38"/>
    <mergeCell ref="X18:Y18"/>
    <mergeCell ref="T18:U18"/>
    <mergeCell ref="V18:W18"/>
    <mergeCell ref="H18:I18"/>
    <mergeCell ref="J18:K18"/>
    <mergeCell ref="N19:O19"/>
    <mergeCell ref="P19:Q19"/>
    <mergeCell ref="X20:Y20"/>
    <mergeCell ref="X19:Y19"/>
    <mergeCell ref="R19:S19"/>
    <mergeCell ref="T19:U19"/>
    <mergeCell ref="D5:E5"/>
    <mergeCell ref="F5:G5"/>
    <mergeCell ref="G21:J21"/>
    <mergeCell ref="G22:J22"/>
    <mergeCell ref="D23:E23"/>
    <mergeCell ref="F23:O23"/>
    <mergeCell ref="P23:R23"/>
    <mergeCell ref="G36:J36"/>
    <mergeCell ref="G37:J37"/>
    <mergeCell ref="L20:M20"/>
    <mergeCell ref="N20:O20"/>
    <mergeCell ref="P20:Q20"/>
    <mergeCell ref="D20:E20"/>
    <mergeCell ref="D19:E19"/>
    <mergeCell ref="F19:G19"/>
    <mergeCell ref="H19:I19"/>
    <mergeCell ref="J19:K19"/>
    <mergeCell ref="L19:M19"/>
    <mergeCell ref="L18:M18"/>
    <mergeCell ref="N18:O18"/>
    <mergeCell ref="P18:Q18"/>
    <mergeCell ref="R18:S18"/>
    <mergeCell ref="D18:E18"/>
    <mergeCell ref="F18:G18"/>
    <mergeCell ref="B16:B17"/>
    <mergeCell ref="C16:C17"/>
    <mergeCell ref="Z16:AC17"/>
    <mergeCell ref="X17:Y17"/>
    <mergeCell ref="L17:M17"/>
    <mergeCell ref="N17:O17"/>
    <mergeCell ref="P17:Q17"/>
    <mergeCell ref="R17:S17"/>
    <mergeCell ref="T17:U17"/>
    <mergeCell ref="V17:W17"/>
    <mergeCell ref="D17:E17"/>
    <mergeCell ref="F17:G17"/>
    <mergeCell ref="H17:I17"/>
    <mergeCell ref="J17:K17"/>
    <mergeCell ref="J32:K32"/>
    <mergeCell ref="L32:M32"/>
    <mergeCell ref="N32:O32"/>
    <mergeCell ref="P32:Q32"/>
    <mergeCell ref="F20:G20"/>
    <mergeCell ref="H20:I20"/>
    <mergeCell ref="J20:K20"/>
    <mergeCell ref="B31:B32"/>
    <mergeCell ref="C31:C32"/>
    <mergeCell ref="D31:AA31"/>
    <mergeCell ref="W24:Y24"/>
    <mergeCell ref="V34:W34"/>
    <mergeCell ref="X34:Y34"/>
    <mergeCell ref="Z34:AA34"/>
    <mergeCell ref="Z33:AA33"/>
    <mergeCell ref="D34:E34"/>
    <mergeCell ref="F34:G34"/>
    <mergeCell ref="H34:I34"/>
    <mergeCell ref="J34:K34"/>
    <mergeCell ref="L34:M34"/>
    <mergeCell ref="N34:O34"/>
    <mergeCell ref="N33:O33"/>
    <mergeCell ref="P33:Q33"/>
    <mergeCell ref="R33:S33"/>
    <mergeCell ref="T33:U33"/>
    <mergeCell ref="V33:W33"/>
    <mergeCell ref="X33:Y33"/>
    <mergeCell ref="D33:E33"/>
    <mergeCell ref="F33:G33"/>
    <mergeCell ref="H33:I33"/>
    <mergeCell ref="J33:K33"/>
    <mergeCell ref="L33:M33"/>
    <mergeCell ref="V35:W35"/>
    <mergeCell ref="X35:Y35"/>
    <mergeCell ref="Z35:AA35"/>
    <mergeCell ref="D35:E35"/>
    <mergeCell ref="F35:G35"/>
    <mergeCell ref="H35:I35"/>
    <mergeCell ref="J35:K35"/>
    <mergeCell ref="L35:M35"/>
    <mergeCell ref="N35:O35"/>
    <mergeCell ref="P35:Q35"/>
    <mergeCell ref="B2:B3"/>
    <mergeCell ref="C2:C3"/>
    <mergeCell ref="Z2:AC3"/>
    <mergeCell ref="D3:E3"/>
    <mergeCell ref="F3:G3"/>
    <mergeCell ref="H3:I3"/>
    <mergeCell ref="J3:K3"/>
    <mergeCell ref="T5:U5"/>
    <mergeCell ref="V5:W5"/>
    <mergeCell ref="X5:Y5"/>
    <mergeCell ref="Z5:AC5"/>
    <mergeCell ref="H5:I5"/>
    <mergeCell ref="J5:K5"/>
    <mergeCell ref="L5:M5"/>
    <mergeCell ref="N5:O5"/>
    <mergeCell ref="P5:Q5"/>
    <mergeCell ref="R5:S5"/>
    <mergeCell ref="R4:S4"/>
    <mergeCell ref="T4:U4"/>
    <mergeCell ref="V4:W4"/>
    <mergeCell ref="X4:Y4"/>
    <mergeCell ref="Z4:AC4"/>
    <mergeCell ref="D4:E4"/>
    <mergeCell ref="F4:G4"/>
    <mergeCell ref="G6:J6"/>
    <mergeCell ref="G7:J7"/>
    <mergeCell ref="P8:R8"/>
    <mergeCell ref="F8:O8"/>
    <mergeCell ref="D2:Y2"/>
    <mergeCell ref="D16:Y16"/>
    <mergeCell ref="AB33:AE33"/>
    <mergeCell ref="AB34:AE34"/>
    <mergeCell ref="AB35:AE35"/>
    <mergeCell ref="D8:E8"/>
    <mergeCell ref="H4:I4"/>
    <mergeCell ref="J4:K4"/>
    <mergeCell ref="L4:M4"/>
    <mergeCell ref="N4:O4"/>
    <mergeCell ref="P4:Q4"/>
    <mergeCell ref="X3:Y3"/>
    <mergeCell ref="L3:M3"/>
    <mergeCell ref="N3:O3"/>
    <mergeCell ref="P3:Q3"/>
    <mergeCell ref="R3:S3"/>
    <mergeCell ref="T3:U3"/>
    <mergeCell ref="V3:W3"/>
    <mergeCell ref="R35:S35"/>
    <mergeCell ref="T35:U35"/>
    <mergeCell ref="L49:M49"/>
    <mergeCell ref="N49:O49"/>
    <mergeCell ref="P49:Q49"/>
    <mergeCell ref="R49:S49"/>
    <mergeCell ref="T49:U49"/>
    <mergeCell ref="B47:B48"/>
    <mergeCell ref="C47:C48"/>
    <mergeCell ref="D47:Y47"/>
    <mergeCell ref="Z47:A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L51:M51"/>
    <mergeCell ref="N51:O51"/>
    <mergeCell ref="P51:Q51"/>
    <mergeCell ref="R51:S51"/>
    <mergeCell ref="T51:U51"/>
    <mergeCell ref="V49:W49"/>
    <mergeCell ref="X49:Y49"/>
    <mergeCell ref="Z49:AC49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C50"/>
    <mergeCell ref="D49:E49"/>
    <mergeCell ref="F49:G49"/>
    <mergeCell ref="H49:I49"/>
    <mergeCell ref="J49:K49"/>
    <mergeCell ref="G53:J53"/>
    <mergeCell ref="G54:J54"/>
    <mergeCell ref="D55:E55"/>
    <mergeCell ref="F55:O55"/>
    <mergeCell ref="P55:R55"/>
    <mergeCell ref="V51:W51"/>
    <mergeCell ref="X51:Y51"/>
    <mergeCell ref="Z51:AC51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C52"/>
    <mergeCell ref="D51:E51"/>
    <mergeCell ref="F51:G51"/>
    <mergeCell ref="H51:I51"/>
    <mergeCell ref="J51:K51"/>
  </mergeCells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0A0E82095ED8D4880C95665613CC7BD" ma:contentTypeVersion="3" ma:contentTypeDescription="新しいドキュメントを作成します。" ma:contentTypeScope="" ma:versionID="29c76571537b318039b5149133ddd6be">
  <xsd:schema xmlns:xsd="http://www.w3.org/2001/XMLSchema" xmlns:xs="http://www.w3.org/2001/XMLSchema" xmlns:p="http://schemas.microsoft.com/office/2006/metadata/properties" xmlns:ns2="cb39158f-6bed-4fc9-9c03-7cb9439f12cb" targetNamespace="http://schemas.microsoft.com/office/2006/metadata/properties" ma:root="true" ma:fieldsID="d650d89b6fd2c83ec925596eeca589c4" ns2:_="">
    <xsd:import namespace="cb39158f-6bed-4fc9-9c03-7cb9439f12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9158f-6bed-4fc9-9c03-7cb9439f12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D692D4-9053-4B79-A5FD-C67794CC5BED}"/>
</file>

<file path=customXml/itemProps2.xml><?xml version="1.0" encoding="utf-8"?>
<ds:datastoreItem xmlns:ds="http://schemas.openxmlformats.org/officeDocument/2006/customXml" ds:itemID="{E9D36160-C5FD-4723-9DCE-AB1CC13D0137}"/>
</file>

<file path=customXml/itemProps3.xml><?xml version="1.0" encoding="utf-8"?>
<ds:datastoreItem xmlns:ds="http://schemas.openxmlformats.org/officeDocument/2006/customXml" ds:itemID="{1A67C449-EF22-41D2-89EC-75C23ACF91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使用機器</vt:lpstr>
      <vt:lpstr>気中火花</vt:lpstr>
      <vt:lpstr>液体個体</vt:lpstr>
      <vt:lpstr>碍子インパルス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yokoyama</dc:creator>
  <cp:lastModifiedBy>靖樹 横山</cp:lastModifiedBy>
  <dcterms:created xsi:type="dcterms:W3CDTF">2015-06-05T18:19:34Z</dcterms:created>
  <dcterms:modified xsi:type="dcterms:W3CDTF">2025-10-24T07:24:47Z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0x010100F0A0E82095ED8D4880C95665613CC7BD</vt:lpwstr>
  </property>
</Properties>
</file>