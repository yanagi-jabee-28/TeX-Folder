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マイドライブ\実験\"/>
    </mc:Choice>
  </mc:AlternateContent>
  <xr:revisionPtr revIDLastSave="0" documentId="13_ncr:1_{20322C47-768A-4089-B536-1B8346116407}" xr6:coauthVersionLast="47" xr6:coauthVersionMax="47" xr10:uidLastSave="{00000000-0000-0000-0000-000000000000}"/>
  <bookViews>
    <workbookView xWindow="-96" yWindow="0" windowWidth="11712" windowHeight="13056" activeTab="2" xr2:uid="{00000000-000D-0000-FFFF-FFFF00000000}"/>
  </bookViews>
  <sheets>
    <sheet name="使用機器" sheetId="1" r:id="rId1"/>
    <sheet name="気中火花" sheetId="2" r:id="rId2"/>
    <sheet name="液体個体" sheetId="16" r:id="rId3"/>
    <sheet name="碍子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6" l="1"/>
  <c r="B4" i="17"/>
  <c r="B5" i="17"/>
  <c r="B6" i="17"/>
  <c r="T6" i="16"/>
  <c r="Q6" i="16"/>
  <c r="F32" i="2"/>
  <c r="O32" i="2"/>
  <c r="F33" i="2"/>
  <c r="O33" i="2"/>
  <c r="F34" i="2"/>
  <c r="O34" i="2"/>
  <c r="F35" i="2"/>
  <c r="O35" i="2"/>
  <c r="F36" i="2"/>
  <c r="O36" i="2"/>
  <c r="L42" i="2"/>
  <c r="L43" i="2"/>
  <c r="L44" i="2"/>
  <c r="L45" i="2"/>
  <c r="L46" i="2"/>
  <c r="D16" i="16"/>
  <c r="E16" i="16" s="1"/>
  <c r="C20" i="16" s="1"/>
  <c r="C21" i="16" s="1"/>
  <c r="G5" i="16"/>
  <c r="C9" i="16" s="1"/>
  <c r="C10" i="16" s="1"/>
  <c r="L56" i="2" l="1"/>
  <c r="L55" i="2"/>
  <c r="L54" i="2"/>
  <c r="L53" i="2"/>
  <c r="L52" i="2"/>
  <c r="O25" i="2"/>
  <c r="O24" i="2"/>
  <c r="O23" i="2"/>
  <c r="O22" i="2"/>
  <c r="O21" i="2"/>
  <c r="O11" i="2"/>
  <c r="O12" i="2"/>
  <c r="O13" i="2"/>
  <c r="O14" i="2"/>
  <c r="O10" i="2"/>
  <c r="R22" i="2"/>
  <c r="R23" i="2"/>
  <c r="R24" i="2"/>
  <c r="R25" i="2"/>
  <c r="R21" i="2"/>
  <c r="M3" i="2"/>
  <c r="I3" i="2"/>
  <c r="F11" i="2" s="1"/>
  <c r="F22" i="2" l="1"/>
  <c r="F10" i="2"/>
  <c r="F14" i="2"/>
  <c r="F13" i="2"/>
  <c r="F21" i="2"/>
  <c r="F12" i="2"/>
  <c r="F25" i="2"/>
  <c r="F24" i="2"/>
  <c r="F23" i="2"/>
</calcChain>
</file>

<file path=xl/sharedStrings.xml><?xml version="1.0" encoding="utf-8"?>
<sst xmlns="http://schemas.openxmlformats.org/spreadsheetml/2006/main" count="155" uniqueCount="91">
  <si>
    <t>機器名</t>
    <rPh sb="0" eb="3">
      <t>キキメイ</t>
    </rPh>
    <phoneticPr fontId="1"/>
  </si>
  <si>
    <t>メーカ名</t>
    <rPh sb="3" eb="4">
      <t>メイ</t>
    </rPh>
    <phoneticPr fontId="1"/>
  </si>
  <si>
    <t>型番</t>
    <rPh sb="0" eb="2">
      <t>カタバン</t>
    </rPh>
    <phoneticPr fontId="1"/>
  </si>
  <si>
    <t>シリアル</t>
    <phoneticPr fontId="1"/>
  </si>
  <si>
    <t>高電圧試験装置</t>
  </si>
  <si>
    <t>CR-200F-32</t>
  </si>
  <si>
    <t>試験用変圧器</t>
  </si>
  <si>
    <t>TT-50K6U</t>
  </si>
  <si>
    <t>直流接地装置</t>
  </si>
  <si>
    <t>DDC-50K</t>
  </si>
  <si>
    <t>標準球ギャップ</t>
  </si>
  <si>
    <t>G-100H</t>
  </si>
  <si>
    <t>ZSK-50W</t>
  </si>
  <si>
    <t>インパルス電圧発生装置</t>
  </si>
  <si>
    <t>IVG-200AS</t>
  </si>
  <si>
    <t>懸垂がいし</t>
  </si>
  <si>
    <t>高電圧プローブ</t>
  </si>
  <si>
    <t>EP-100K</t>
  </si>
  <si>
    <t>オシロスコープ</t>
  </si>
  <si>
    <t>Tektronix</t>
  </si>
  <si>
    <t>TDS 3032</t>
  </si>
  <si>
    <t>B012774</t>
  </si>
  <si>
    <t>同上</t>
    <rPh sb="0" eb="2">
      <t>ドウジョウ</t>
    </rPh>
    <phoneticPr fontId="1"/>
  </si>
  <si>
    <t>気中／油中試験装置</t>
    <phoneticPr fontId="1"/>
  </si>
  <si>
    <t>株式会社</t>
  </si>
  <si>
    <t>パルス電子技術</t>
    <phoneticPr fontId="1"/>
  </si>
  <si>
    <t>A-S-1527AB</t>
    <phoneticPr fontId="1"/>
  </si>
  <si>
    <t>JIS記号：180EP</t>
    <phoneticPr fontId="1"/>
  </si>
  <si>
    <t>実測値</t>
  </si>
  <si>
    <t>相対空気密度</t>
    <phoneticPr fontId="1"/>
  </si>
  <si>
    <t>実験式</t>
    <phoneticPr fontId="1"/>
  </si>
  <si>
    <t>1回目</t>
    <phoneticPr fontId="1"/>
  </si>
  <si>
    <t>2回目</t>
    <phoneticPr fontId="1"/>
  </si>
  <si>
    <t>平板－平板</t>
    <phoneticPr fontId="1"/>
  </si>
  <si>
    <t>球－球</t>
    <phoneticPr fontId="1"/>
  </si>
  <si>
    <t>実験式に
おける
補正係数</t>
    <rPh sb="0" eb="3">
      <t>ジッケンシキ</t>
    </rPh>
    <rPh sb="9" eb="13">
      <t>ホセイケイスウ</t>
    </rPh>
    <phoneticPr fontId="1"/>
  </si>
  <si>
    <t>針－針</t>
    <rPh sb="0" eb="1">
      <t>ハリ</t>
    </rPh>
    <rPh sb="2" eb="3">
      <t>ハリ</t>
    </rPh>
    <phoneticPr fontId="1"/>
  </si>
  <si>
    <t>相対空気密度（針－針）</t>
    <rPh sb="7" eb="8">
      <t>ハリ</t>
    </rPh>
    <rPh sb="9" eb="10">
      <t>ハリ</t>
    </rPh>
    <phoneticPr fontId="1"/>
  </si>
  <si>
    <t>球半径：</t>
    <rPh sb="0" eb="3">
      <t>キュウハンケイ</t>
    </rPh>
    <phoneticPr fontId="1"/>
  </si>
  <si>
    <t>cm</t>
    <phoneticPr fontId="1"/>
  </si>
  <si>
    <t>気温 [℃]</t>
    <phoneticPr fontId="1"/>
  </si>
  <si>
    <t>気圧 [hPa]</t>
    <rPh sb="0" eb="2">
      <t>キアツ</t>
    </rPh>
    <phoneticPr fontId="1"/>
  </si>
  <si>
    <t>ギャップ長
[cm]</t>
    <phoneticPr fontId="1"/>
  </si>
  <si>
    <t>破壊電圧 [kV]</t>
    <phoneticPr fontId="1"/>
  </si>
  <si>
    <t>針（＋）－平板</t>
    <rPh sb="0" eb="1">
      <t>ハリ</t>
    </rPh>
    <rPh sb="5" eb="7">
      <t>ヘイバン</t>
    </rPh>
    <phoneticPr fontId="1"/>
  </si>
  <si>
    <t>針（－）－平板</t>
    <rPh sb="0" eb="1">
      <t>ハリ</t>
    </rPh>
    <rPh sb="5" eb="7">
      <t>ヘイバン</t>
    </rPh>
    <phoneticPr fontId="1"/>
  </si>
  <si>
    <t>1回目
[kV]</t>
    <phoneticPr fontId="1"/>
  </si>
  <si>
    <t>2回目
[kV]</t>
  </si>
  <si>
    <t>3回目
[kV]</t>
  </si>
  <si>
    <t>4回目
[kV]</t>
  </si>
  <si>
    <t>5回目
[kV]</t>
    <phoneticPr fontId="1"/>
  </si>
  <si>
    <t>絶縁油</t>
    <rPh sb="0" eb="3">
      <t>ゼツエンユ</t>
    </rPh>
    <phoneticPr fontId="1"/>
  </si>
  <si>
    <t>ベークライト板</t>
    <rPh sb="6" eb="7">
      <t>イタ</t>
    </rPh>
    <phoneticPr fontId="1"/>
  </si>
  <si>
    <t>2～5回目の平均値
[kV]</t>
    <rPh sb="6" eb="8">
      <t>ヘイキン</t>
    </rPh>
    <rPh sb="8" eb="9">
      <t>アタイ</t>
    </rPh>
    <phoneticPr fontId="1"/>
  </si>
  <si>
    <t>平均値
[kV]</t>
    <rPh sb="0" eb="2">
      <t>ヘイキン</t>
    </rPh>
    <rPh sb="2" eb="3">
      <t>アタイ</t>
    </rPh>
    <phoneticPr fontId="1"/>
  </si>
  <si>
    <t>波高値（√2×平均値）
[kV]</t>
    <rPh sb="0" eb="2">
      <t>ハコウ</t>
    </rPh>
    <rPh sb="2" eb="3">
      <t>アタイ</t>
    </rPh>
    <rPh sb="9" eb="10">
      <t>アタイ</t>
    </rPh>
    <phoneticPr fontId="1"/>
  </si>
  <si>
    <t>平均値</t>
    <rPh sb="2" eb="3">
      <t>アタイ</t>
    </rPh>
    <phoneticPr fontId="1"/>
  </si>
  <si>
    <t>A</t>
    <phoneticPr fontId="1"/>
  </si>
  <si>
    <t>V</t>
    <phoneticPr fontId="1"/>
  </si>
  <si>
    <t>n</t>
    <phoneticPr fontId="1"/>
  </si>
  <si>
    <t>d</t>
    <phoneticPr fontId="1"/>
  </si>
  <si>
    <t>放電率</t>
    <rPh sb="0" eb="3">
      <t>ホウデンリツ</t>
    </rPh>
    <phoneticPr fontId="1"/>
  </si>
  <si>
    <t xml:space="preserve">1回目
</t>
    <rPh sb="1" eb="3">
      <t>カイメ</t>
    </rPh>
    <phoneticPr fontId="1"/>
  </si>
  <si>
    <t xml:space="preserve">2回目
</t>
    <rPh sb="1" eb="3">
      <t>カイメ</t>
    </rPh>
    <phoneticPr fontId="1"/>
  </si>
  <si>
    <t xml:space="preserve">3回目
</t>
    <rPh sb="1" eb="3">
      <t>カイメ</t>
    </rPh>
    <phoneticPr fontId="1"/>
  </si>
  <si>
    <t xml:space="preserve">4回目
</t>
    <rPh sb="1" eb="3">
      <t>カイメ</t>
    </rPh>
    <phoneticPr fontId="1"/>
  </si>
  <si>
    <t xml:space="preserve">5回目
</t>
    <rPh sb="1" eb="3">
      <t>カイメ</t>
    </rPh>
    <phoneticPr fontId="1"/>
  </si>
  <si>
    <t xml:space="preserve">6回目
</t>
    <rPh sb="1" eb="3">
      <t>カイメ</t>
    </rPh>
    <phoneticPr fontId="1"/>
  </si>
  <si>
    <t xml:space="preserve">7回目
</t>
    <rPh sb="1" eb="3">
      <t>カイメ</t>
    </rPh>
    <phoneticPr fontId="1"/>
  </si>
  <si>
    <t xml:space="preserve">8回目
</t>
    <rPh sb="1" eb="3">
      <t>カイメ</t>
    </rPh>
    <phoneticPr fontId="1"/>
  </si>
  <si>
    <t xml:space="preserve">9回目
</t>
    <rPh sb="1" eb="3">
      <t>カイメ</t>
    </rPh>
    <phoneticPr fontId="1"/>
  </si>
  <si>
    <t xml:space="preserve">10回目
</t>
    <rPh sb="2" eb="4">
      <t>カイメ</t>
    </rPh>
    <phoneticPr fontId="1"/>
  </si>
  <si>
    <t>ギャップがながいんじゃな～いかな～</t>
    <phoneticPr fontId="1"/>
  </si>
  <si>
    <t>〇</t>
    <phoneticPr fontId="1"/>
  </si>
  <si>
    <t>×</t>
    <phoneticPr fontId="1"/>
  </si>
  <si>
    <t>気体</t>
  </si>
  <si>
    <t>液体</t>
  </si>
  <si>
    <t>固体</t>
  </si>
  <si>
    <t>（空気）</t>
  </si>
  <si>
    <t>（絶縁油）</t>
  </si>
  <si>
    <t>（ベークライト）</t>
  </si>
  <si>
    <t>破壊電圧</t>
  </si>
  <si>
    <t>気体に対する比</t>
  </si>
  <si>
    <r>
      <t>V</t>
    </r>
    <r>
      <rPr>
        <i/>
        <vertAlign val="subscript"/>
        <sz val="10.5"/>
        <color rgb="FF000000"/>
        <rFont val="游明朝"/>
        <family val="1"/>
        <charset val="128"/>
      </rPr>
      <t>i</t>
    </r>
    <r>
      <rPr>
        <sz val="10.5"/>
        <color rgb="FF000000"/>
        <rFont val="游明朝"/>
        <family val="1"/>
        <charset val="128"/>
      </rPr>
      <t>[kV]</t>
    </r>
  </si>
  <si>
    <r>
      <t>V</t>
    </r>
    <r>
      <rPr>
        <i/>
        <vertAlign val="subscript"/>
        <sz val="10.5"/>
        <color rgb="FF000000"/>
        <rFont val="游明朝"/>
        <family val="1"/>
        <charset val="128"/>
      </rPr>
      <t>o</t>
    </r>
    <r>
      <rPr>
        <sz val="10.5"/>
        <color rgb="FF000000"/>
        <rFont val="游明朝"/>
        <family val="1"/>
        <charset val="128"/>
      </rPr>
      <t>[kV]</t>
    </r>
  </si>
  <si>
    <t>放電率</t>
  </si>
  <si>
    <r>
      <t>p</t>
    </r>
    <r>
      <rPr>
        <sz val="10.5"/>
        <color rgb="FF000000"/>
        <rFont val="游明朝"/>
        <family val="1"/>
        <charset val="128"/>
      </rPr>
      <t>[%]</t>
    </r>
    <phoneticPr fontId="1"/>
  </si>
  <si>
    <t>p[%]</t>
  </si>
  <si>
    <t>インパル
ス電圧</t>
    <rPh sb="6" eb="8">
      <t>デンアツ</t>
    </rPh>
    <phoneticPr fontId="1"/>
  </si>
  <si>
    <t>フラッシュオーバーの有無（有:〇,無:×）</t>
    <rPh sb="10" eb="12">
      <t>ウム</t>
    </rPh>
    <rPh sb="13" eb="14">
      <t>ア</t>
    </rPh>
    <rPh sb="17" eb="18">
      <t>ナ</t>
    </rPh>
    <phoneticPr fontId="1"/>
  </si>
  <si>
    <t>充電電圧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</si>
</sst>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游明朝"/>
      <family val="1"/>
      <charset val="128"/>
    </font>
    <font>
      <sz val="11"/>
      <color theme="1"/>
      <name val="游明朝 Demibold"/>
      <family val="1"/>
      <charset val="128"/>
    </font>
    <font>
      <sz val="10.5"/>
      <color rgb="FF000000"/>
      <name val="游明朝"/>
      <family val="1"/>
      <charset val="128"/>
    </font>
    <font>
      <i/>
      <sz val="10.5"/>
      <color rgb="FF000000"/>
      <name val="游明朝"/>
      <family val="1"/>
      <charset val="128"/>
    </font>
    <font>
      <i/>
      <vertAlign val="subscript"/>
      <sz val="10.5"/>
      <color rgb="FF000000"/>
      <name val="游明朝"/>
      <family val="1"/>
      <charset val="128"/>
    </font>
    <font>
      <sz val="10.5"/>
      <color rgb="FF000000"/>
      <name val="游明朝 Demibold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176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3" xfId="0" applyBorder="1"/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0" fillId="0" borderId="0" xfId="0" applyNumberFormat="1"/>
    <xf numFmtId="0" fontId="0" fillId="0" borderId="3" xfId="0" applyBorder="1" applyAlignment="1">
      <alignment vertical="top" wrapText="1"/>
    </xf>
    <xf numFmtId="176" fontId="0" fillId="0" borderId="3" xfId="0" applyNumberFormat="1" applyBorder="1"/>
    <xf numFmtId="0" fontId="0" fillId="0" borderId="3" xfId="0" applyBorder="1" applyAlignment="1">
      <alignment vertical="top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76" fontId="2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76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6426071741032"/>
          <c:y val="3.5045794090782408E-2"/>
          <c:w val="0.83894685039370065"/>
          <c:h val="0.82897978607766321"/>
        </c:manualLayout>
      </c:layout>
      <c:scatterChart>
        <c:scatterStyle val="lineMarker"/>
        <c:varyColors val="0"/>
        <c:ser>
          <c:idx val="0"/>
          <c:order val="0"/>
          <c:tx>
            <c:v>平板 － 平板（実験式）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気中火花!$F$10:$F$14</c:f>
              <c:numCache>
                <c:formatCode>0.0</c:formatCode>
                <c:ptCount val="5"/>
                <c:pt idx="0">
                  <c:v>14.01404336765726</c:v>
                </c:pt>
                <c:pt idx="1">
                  <c:v>22.448334924243291</c:v>
                </c:pt>
                <c:pt idx="2">
                  <c:v>30.568546794508553</c:v>
                </c:pt>
                <c:pt idx="3">
                  <c:v>38.510718793006703</c:v>
                </c:pt>
                <c:pt idx="4">
                  <c:v>46.334222492890284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91-45F0-9E3D-DAACA0094FF3}"/>
            </c:ext>
          </c:extLst>
        </c:ser>
        <c:ser>
          <c:idx val="3"/>
          <c:order val="1"/>
          <c:tx>
            <c:v>平板 － 平板（実験結果）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気中火花!$O$10:$O$14</c:f>
              <c:numCache>
                <c:formatCode>0.0</c:formatCode>
                <c:ptCount val="5"/>
                <c:pt idx="0">
                  <c:v>13.3</c:v>
                </c:pt>
                <c:pt idx="1">
                  <c:v>21.799999999999997</c:v>
                </c:pt>
                <c:pt idx="2">
                  <c:v>30.95</c:v>
                </c:pt>
                <c:pt idx="3">
                  <c:v>38.099999999999994</c:v>
                </c:pt>
                <c:pt idx="4">
                  <c:v>46.400000000000006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91-45F0-9E3D-DAACA0094FF3}"/>
            </c:ext>
          </c:extLst>
        </c:ser>
        <c:ser>
          <c:idx val="1"/>
          <c:order val="2"/>
          <c:tx>
            <c:v>球 － 球（実験式）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forward val="5.000000000000001E-2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気中火花!$F$21:$F$25</c:f>
              <c:numCache>
                <c:formatCode>0.0</c:formatCode>
                <c:ptCount val="5"/>
                <c:pt idx="0">
                  <c:v>12.965411979031114</c:v>
                </c:pt>
                <c:pt idx="1">
                  <c:v>22.249674240242669</c:v>
                </c:pt>
                <c:pt idx="2">
                  <c:v>31.17606794678203</c:v>
                </c:pt>
                <c:pt idx="3">
                  <c:v>39.760676556690449</c:v>
                </c:pt>
                <c:pt idx="4">
                  <c:v>48.018642866028131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91-45F0-9E3D-DAACA0094FF3}"/>
            </c:ext>
          </c:extLst>
        </c:ser>
        <c:ser>
          <c:idx val="4"/>
          <c:order val="3"/>
          <c:tx>
            <c:v>球 － 球（実験結果）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気中火花!$O$21:$O$25</c:f>
              <c:numCache>
                <c:formatCode>0.0</c:formatCode>
                <c:ptCount val="5"/>
                <c:pt idx="0">
                  <c:v>13.8</c:v>
                </c:pt>
                <c:pt idx="1">
                  <c:v>22.55</c:v>
                </c:pt>
                <c:pt idx="2">
                  <c:v>32.4</c:v>
                </c:pt>
                <c:pt idx="3">
                  <c:v>41</c:v>
                </c:pt>
                <c:pt idx="4">
                  <c:v>48.2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91-45F0-9E3D-DAACA0094FF3}"/>
            </c:ext>
          </c:extLst>
        </c:ser>
        <c:ser>
          <c:idx val="2"/>
          <c:order val="4"/>
          <c:tx>
            <c:v>針 － 針（実験式）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backward val="0.8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気中火花!$F$32:$F$36</c:f>
              <c:numCache>
                <c:formatCode>0.0</c:formatCode>
                <c:ptCount val="5"/>
                <c:pt idx="0">
                  <c:v>22.849105858585855</c:v>
                </c:pt>
                <c:pt idx="1">
                  <c:v>27.739068282828281</c:v>
                </c:pt>
                <c:pt idx="2">
                  <c:v>32.629030707070704</c:v>
                </c:pt>
                <c:pt idx="3">
                  <c:v>37.518993131313131</c:v>
                </c:pt>
                <c:pt idx="4">
                  <c:v>42.408955555555551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91-45F0-9E3D-DAACA0094FF3}"/>
            </c:ext>
          </c:extLst>
        </c:ser>
        <c:ser>
          <c:idx val="5"/>
          <c:order val="5"/>
          <c:tx>
            <c:v>針 － 針（実験結果）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 cmpd="sng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backward val="0.60000000000000009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気中火花!$O$32:$O$36</c:f>
              <c:numCache>
                <c:formatCode>0.0</c:formatCode>
                <c:ptCount val="5"/>
                <c:pt idx="0">
                  <c:v>8.6999999999999993</c:v>
                </c:pt>
                <c:pt idx="1">
                  <c:v>21.799999999999997</c:v>
                </c:pt>
                <c:pt idx="2">
                  <c:v>31.4</c:v>
                </c:pt>
                <c:pt idx="3">
                  <c:v>40.9</c:v>
                </c:pt>
                <c:pt idx="4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691-45F0-9E3D-DAACA0094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ギャップ長</a:t>
                </a:r>
                <a:r>
                  <a:rPr lang="en-US" altLang="ja-JP" sz="11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d</a:t>
                </a: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[cm]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layout>
            <c:manualLayout>
              <c:xMode val="edge"/>
              <c:yMode val="edge"/>
              <c:x val="0.43443980882986644"/>
              <c:y val="0.91730725238292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</c:valAx>
      <c:valAx>
        <c:axId val="221476352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破壊電圧</a:t>
                </a:r>
                <a:r>
                  <a:rPr lang="en-US" altLang="ja-JP" sz="11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V</a:t>
                </a:r>
                <a:r>
                  <a:rPr lang="en-US" altLang="ja-JP" sz="1100" i="1" baseline="-25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s</a:t>
                </a: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0447761194029848"/>
          <c:y val="0.49694642906478798"/>
          <c:w val="0.33319524425118502"/>
          <c:h val="0.34543820969747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6426071741032"/>
          <c:y val="3.5045794090782408E-2"/>
          <c:w val="0.83894685039370065"/>
          <c:h val="0.82897978607766321"/>
        </c:manualLayout>
      </c:layout>
      <c:scatterChart>
        <c:scatterStyle val="lineMarker"/>
        <c:varyColors val="0"/>
        <c:ser>
          <c:idx val="0"/>
          <c:order val="0"/>
          <c:tx>
            <c:v>針(＋) － 平板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25"/>
            <c:backward val="0.25"/>
            <c:dispRSqr val="0"/>
            <c:dispEq val="0"/>
          </c:trendline>
          <c:xVal>
            <c:numRef>
              <c:f>気中火花!$B$42:$B$46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気中火花!$L$42:$L$46</c:f>
              <c:numCache>
                <c:formatCode>0.0</c:formatCode>
                <c:ptCount val="5"/>
                <c:pt idx="0">
                  <c:v>5.55</c:v>
                </c:pt>
                <c:pt idx="1">
                  <c:v>9.0500000000000007</c:v>
                </c:pt>
                <c:pt idx="2">
                  <c:v>11.9</c:v>
                </c:pt>
                <c:pt idx="3">
                  <c:v>14.8</c:v>
                </c:pt>
                <c:pt idx="4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DC-4698-AB74-FB32B80F5F32}"/>
            </c:ext>
          </c:extLst>
        </c:ser>
        <c:ser>
          <c:idx val="3"/>
          <c:order val="1"/>
          <c:tx>
            <c:v>針(－) － 平板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25"/>
            <c:backward val="0.25"/>
            <c:dispRSqr val="0"/>
            <c:dispEq val="0"/>
          </c:trendline>
          <c:xVal>
            <c:numRef>
              <c:f>気中火花!$B$52:$B$56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気中火花!$L$52:$L$56</c:f>
              <c:numCache>
                <c:formatCode>0.0</c:formatCode>
                <c:ptCount val="5"/>
                <c:pt idx="0">
                  <c:v>7.3</c:v>
                </c:pt>
                <c:pt idx="1">
                  <c:v>12.2</c:v>
                </c:pt>
                <c:pt idx="2">
                  <c:v>18.7</c:v>
                </c:pt>
                <c:pt idx="3">
                  <c:v>25.5</c:v>
                </c:pt>
                <c:pt idx="4">
                  <c:v>31.6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DC-4698-AB74-FB32B80F5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ギャップ長</a:t>
                </a:r>
                <a:r>
                  <a:rPr lang="en-US" altLang="ja-JP" sz="11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d</a:t>
                </a: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[cm]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  <c:majorUnit val="0.5"/>
      </c:valAx>
      <c:valAx>
        <c:axId val="22147635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破壊電圧</a:t>
                </a:r>
                <a:r>
                  <a:rPr lang="en-US" altLang="ja-JP" sz="11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V</a:t>
                </a:r>
                <a:r>
                  <a:rPr lang="en-US" altLang="ja-JP" sz="1100" i="1" baseline="-25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s</a:t>
                </a: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6417910447761197"/>
          <c:y val="0.68782362204724412"/>
          <c:w val="0.26354350295765266"/>
          <c:h val="0.12368382373255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6426071741032"/>
          <c:y val="3.5045794090782408E-2"/>
          <c:w val="0.83894685039370065"/>
          <c:h val="0.82897978607766321"/>
        </c:manualLayout>
      </c:layout>
      <c:scatterChart>
        <c:scatterStyle val="lineMarker"/>
        <c:varyColors val="0"/>
        <c:ser>
          <c:idx val="0"/>
          <c:order val="0"/>
          <c:tx>
            <c:v>平板ー平板（実験式）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気中火花!$F$10:$F$14</c:f>
              <c:numCache>
                <c:formatCode>0.0</c:formatCode>
                <c:ptCount val="5"/>
                <c:pt idx="0">
                  <c:v>14.01404336765726</c:v>
                </c:pt>
                <c:pt idx="1">
                  <c:v>22.448334924243291</c:v>
                </c:pt>
                <c:pt idx="2">
                  <c:v>30.568546794508553</c:v>
                </c:pt>
                <c:pt idx="3">
                  <c:v>38.510718793006703</c:v>
                </c:pt>
                <c:pt idx="4">
                  <c:v>46.334222492890284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B-4B02-B522-7949B98FB8C8}"/>
            </c:ext>
          </c:extLst>
        </c:ser>
        <c:ser>
          <c:idx val="3"/>
          <c:order val="1"/>
          <c:tx>
            <c:v>平板ー平板（実験結果）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気中火花!$O$10:$O$14</c:f>
              <c:numCache>
                <c:formatCode>0.0</c:formatCode>
                <c:ptCount val="5"/>
                <c:pt idx="0">
                  <c:v>13.3</c:v>
                </c:pt>
                <c:pt idx="1">
                  <c:v>21.799999999999997</c:v>
                </c:pt>
                <c:pt idx="2">
                  <c:v>30.95</c:v>
                </c:pt>
                <c:pt idx="3">
                  <c:v>38.099999999999994</c:v>
                </c:pt>
                <c:pt idx="4">
                  <c:v>46.400000000000006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9B-4B02-B522-7949B98FB8C8}"/>
            </c:ext>
          </c:extLst>
        </c:ser>
        <c:ser>
          <c:idx val="1"/>
          <c:order val="2"/>
          <c:tx>
            <c:v>球ー球（実験式）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5.000000000000001E-2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気中火花!$F$21:$F$25</c:f>
              <c:numCache>
                <c:formatCode>0.0</c:formatCode>
                <c:ptCount val="5"/>
                <c:pt idx="0">
                  <c:v>12.965411979031114</c:v>
                </c:pt>
                <c:pt idx="1">
                  <c:v>22.249674240242669</c:v>
                </c:pt>
                <c:pt idx="2">
                  <c:v>31.17606794678203</c:v>
                </c:pt>
                <c:pt idx="3">
                  <c:v>39.760676556690449</c:v>
                </c:pt>
                <c:pt idx="4">
                  <c:v>48.018642866028131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9B-4B02-B522-7949B98FB8C8}"/>
            </c:ext>
          </c:extLst>
        </c:ser>
        <c:ser>
          <c:idx val="4"/>
          <c:order val="3"/>
          <c:tx>
            <c:v>球ー球（実験結果）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気中火花!$O$21:$O$25</c:f>
              <c:numCache>
                <c:formatCode>0.0</c:formatCode>
                <c:ptCount val="5"/>
                <c:pt idx="0">
                  <c:v>13.8</c:v>
                </c:pt>
                <c:pt idx="1">
                  <c:v>22.55</c:v>
                </c:pt>
                <c:pt idx="2">
                  <c:v>32.4</c:v>
                </c:pt>
                <c:pt idx="3">
                  <c:v>41</c:v>
                </c:pt>
                <c:pt idx="4">
                  <c:v>48.2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9B-4B02-B522-7949B98FB8C8}"/>
            </c:ext>
          </c:extLst>
        </c:ser>
        <c:ser>
          <c:idx val="2"/>
          <c:order val="4"/>
          <c:tx>
            <c:v>針ー針（実験式）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backward val="0.8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気中火花!$F$32:$F$36</c:f>
              <c:numCache>
                <c:formatCode>0.0</c:formatCode>
                <c:ptCount val="5"/>
                <c:pt idx="0">
                  <c:v>22.849105858585855</c:v>
                </c:pt>
                <c:pt idx="1">
                  <c:v>27.739068282828281</c:v>
                </c:pt>
                <c:pt idx="2">
                  <c:v>32.629030707070704</c:v>
                </c:pt>
                <c:pt idx="3">
                  <c:v>37.518993131313131</c:v>
                </c:pt>
                <c:pt idx="4">
                  <c:v>42.408955555555551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9B-4B02-B522-7949B98FB8C8}"/>
            </c:ext>
          </c:extLst>
        </c:ser>
        <c:ser>
          <c:idx val="5"/>
          <c:order val="5"/>
          <c:tx>
            <c:v>針ー針（実験結果）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 cmpd="sng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backward val="0.60000000000000009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気中火花!$O$32:$O$36</c:f>
              <c:numCache>
                <c:formatCode>0.0</c:formatCode>
                <c:ptCount val="5"/>
                <c:pt idx="0">
                  <c:v>8.6999999999999993</c:v>
                </c:pt>
                <c:pt idx="1">
                  <c:v>21.799999999999997</c:v>
                </c:pt>
                <c:pt idx="2">
                  <c:v>31.4</c:v>
                </c:pt>
                <c:pt idx="3">
                  <c:v>40.9</c:v>
                </c:pt>
                <c:pt idx="4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9B-4B02-B522-7949B98FB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ギャップ長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[cm]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</c:valAx>
      <c:valAx>
        <c:axId val="221476352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破壊電圧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56431480204394513"/>
          <c:w val="0.97498622047244099"/>
          <c:h val="0.148946882667835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6426071741032"/>
          <c:y val="3.5045794090782408E-2"/>
          <c:w val="0.83894685039370065"/>
          <c:h val="0.82897978607766321"/>
        </c:manualLayout>
      </c:layout>
      <c:scatterChart>
        <c:scatterStyle val="lineMarker"/>
        <c:varyColors val="0"/>
        <c:ser>
          <c:idx val="0"/>
          <c:order val="0"/>
          <c:tx>
            <c:v>針（＋）ー平板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linear"/>
            <c:forward val="0.25"/>
            <c:backward val="0.25"/>
            <c:dispRSqr val="0"/>
            <c:dispEq val="0"/>
          </c:trendline>
          <c:xVal>
            <c:numRef>
              <c:f>気中火花!$B$42:$B$46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気中火花!$L$42:$L$46</c:f>
              <c:numCache>
                <c:formatCode>0.0</c:formatCode>
                <c:ptCount val="5"/>
                <c:pt idx="0">
                  <c:v>5.55</c:v>
                </c:pt>
                <c:pt idx="1">
                  <c:v>9.0500000000000007</c:v>
                </c:pt>
                <c:pt idx="2">
                  <c:v>11.9</c:v>
                </c:pt>
                <c:pt idx="3">
                  <c:v>14.8</c:v>
                </c:pt>
                <c:pt idx="4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3D-4962-8AC2-704386A89B41}"/>
            </c:ext>
          </c:extLst>
        </c:ser>
        <c:ser>
          <c:idx val="3"/>
          <c:order val="1"/>
          <c:tx>
            <c:v>針（－）ー平板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  <c:trendlineType val="linear"/>
            <c:forward val="0.25"/>
            <c:backward val="0.25"/>
            <c:dispRSqr val="0"/>
            <c:dispEq val="0"/>
          </c:trendline>
          <c:xVal>
            <c:numRef>
              <c:f>気中火花!$B$52:$B$56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気中火花!$L$52:$L$56</c:f>
              <c:numCache>
                <c:formatCode>0.0</c:formatCode>
                <c:ptCount val="5"/>
                <c:pt idx="0">
                  <c:v>7.3</c:v>
                </c:pt>
                <c:pt idx="1">
                  <c:v>12.2</c:v>
                </c:pt>
                <c:pt idx="2">
                  <c:v>18.7</c:v>
                </c:pt>
                <c:pt idx="3">
                  <c:v>25.5</c:v>
                </c:pt>
                <c:pt idx="4">
                  <c:v>31.6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3D-4962-8AC2-704386A89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ギャップ長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[cm]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  <c:majorUnit val="0.5"/>
      </c:valAx>
      <c:valAx>
        <c:axId val="22147635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破壊電圧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56431480204394513"/>
          <c:w val="0.97498622047244099"/>
          <c:h val="0.148946882667835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6426071741032"/>
          <c:y val="3.5045794090782408E-2"/>
          <c:w val="0.83894685039370065"/>
          <c:h val="0.82897978607766321"/>
        </c:manualLayout>
      </c:layout>
      <c:scatterChart>
        <c:scatterStyle val="lineMarker"/>
        <c:varyColors val="0"/>
        <c:ser>
          <c:idx val="0"/>
          <c:order val="0"/>
          <c:tx>
            <c:v>平板 － 平板（実験式）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気中火花!$F$10:$F$14</c:f>
              <c:numCache>
                <c:formatCode>0.0</c:formatCode>
                <c:ptCount val="5"/>
                <c:pt idx="0">
                  <c:v>14.01404336765726</c:v>
                </c:pt>
                <c:pt idx="1">
                  <c:v>22.448334924243291</c:v>
                </c:pt>
                <c:pt idx="2">
                  <c:v>30.568546794508553</c:v>
                </c:pt>
                <c:pt idx="3">
                  <c:v>38.510718793006703</c:v>
                </c:pt>
                <c:pt idx="4">
                  <c:v>46.334222492890284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18-4AC0-BB6B-8E52216D65BF}"/>
            </c:ext>
          </c:extLst>
        </c:ser>
        <c:ser>
          <c:idx val="3"/>
          <c:order val="1"/>
          <c:tx>
            <c:v>平板 － 平板（実験結果）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気中火花!$O$10:$O$14</c:f>
              <c:numCache>
                <c:formatCode>0.0</c:formatCode>
                <c:ptCount val="5"/>
                <c:pt idx="0">
                  <c:v>13.3</c:v>
                </c:pt>
                <c:pt idx="1">
                  <c:v>21.799999999999997</c:v>
                </c:pt>
                <c:pt idx="2">
                  <c:v>30.95</c:v>
                </c:pt>
                <c:pt idx="3">
                  <c:v>38.099999999999994</c:v>
                </c:pt>
                <c:pt idx="4">
                  <c:v>46.400000000000006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18-4AC0-BB6B-8E52216D65BF}"/>
            </c:ext>
          </c:extLst>
        </c:ser>
        <c:ser>
          <c:idx val="1"/>
          <c:order val="2"/>
          <c:tx>
            <c:v>球 － 球（実験式）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forward val="5.000000000000001E-2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気中火花!$F$21:$F$25</c:f>
              <c:numCache>
                <c:formatCode>0.0</c:formatCode>
                <c:ptCount val="5"/>
                <c:pt idx="0">
                  <c:v>12.965411979031114</c:v>
                </c:pt>
                <c:pt idx="1">
                  <c:v>22.249674240242669</c:v>
                </c:pt>
                <c:pt idx="2">
                  <c:v>31.17606794678203</c:v>
                </c:pt>
                <c:pt idx="3">
                  <c:v>39.760676556690449</c:v>
                </c:pt>
                <c:pt idx="4">
                  <c:v>48.018642866028131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18-4AC0-BB6B-8E52216D65BF}"/>
            </c:ext>
          </c:extLst>
        </c:ser>
        <c:ser>
          <c:idx val="4"/>
          <c:order val="3"/>
          <c:tx>
            <c:v>球 － 球（実験結果）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0.1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気中火花!$O$21:$O$25</c:f>
              <c:numCache>
                <c:formatCode>0.0</c:formatCode>
                <c:ptCount val="5"/>
                <c:pt idx="0">
                  <c:v>13.8</c:v>
                </c:pt>
                <c:pt idx="1">
                  <c:v>22.55</c:v>
                </c:pt>
                <c:pt idx="2">
                  <c:v>32.4</c:v>
                </c:pt>
                <c:pt idx="3">
                  <c:v>41</c:v>
                </c:pt>
                <c:pt idx="4">
                  <c:v>48.2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18-4AC0-BB6B-8E52216D65BF}"/>
            </c:ext>
          </c:extLst>
        </c:ser>
        <c:ser>
          <c:idx val="2"/>
          <c:order val="4"/>
          <c:tx>
            <c:v>針 － 針（実験式）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backward val="0.8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気中火花!$F$32:$F$36</c:f>
              <c:numCache>
                <c:formatCode>0.0</c:formatCode>
                <c:ptCount val="5"/>
                <c:pt idx="0">
                  <c:v>22.849105858585855</c:v>
                </c:pt>
                <c:pt idx="1">
                  <c:v>27.739068282828281</c:v>
                </c:pt>
                <c:pt idx="2">
                  <c:v>32.629030707070704</c:v>
                </c:pt>
                <c:pt idx="3">
                  <c:v>37.518993131313131</c:v>
                </c:pt>
                <c:pt idx="4">
                  <c:v>42.408955555555551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18-4AC0-BB6B-8E52216D65BF}"/>
            </c:ext>
          </c:extLst>
        </c:ser>
        <c:ser>
          <c:idx val="5"/>
          <c:order val="5"/>
          <c:tx>
            <c:v>針 － 針（実験結果）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 cmpd="sng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poly"/>
            <c:order val="2"/>
            <c:backward val="0.60000000000000009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気中火花!$O$32:$O$36</c:f>
              <c:numCache>
                <c:formatCode>0.0</c:formatCode>
                <c:ptCount val="5"/>
                <c:pt idx="0">
                  <c:v>8.6999999999999993</c:v>
                </c:pt>
                <c:pt idx="1">
                  <c:v>21.799999999999997</c:v>
                </c:pt>
                <c:pt idx="2">
                  <c:v>31.4</c:v>
                </c:pt>
                <c:pt idx="3">
                  <c:v>40.9</c:v>
                </c:pt>
                <c:pt idx="4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18-4AC0-BB6B-8E52216D6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ギャップ長</a:t>
                </a:r>
                <a:r>
                  <a:rPr lang="en-US" altLang="ja-JP" sz="11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d</a:t>
                </a: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[cm]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layout>
            <c:manualLayout>
              <c:xMode val="edge"/>
              <c:yMode val="edge"/>
              <c:x val="0.43443980882986644"/>
              <c:y val="0.91730725238292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</c:valAx>
      <c:valAx>
        <c:axId val="221476352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破壊電圧</a:t>
                </a:r>
                <a:r>
                  <a:rPr lang="en-US" altLang="ja-JP" sz="11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V</a:t>
                </a:r>
                <a:r>
                  <a:rPr lang="en-US" altLang="ja-JP" sz="1100" i="1" baseline="-25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s</a:t>
                </a:r>
                <a:r>
                  <a:rPr lang="ja-JP" altLang="en-US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1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1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60447761194029848"/>
          <c:y val="0.49694642906478798"/>
          <c:w val="0.33319524425118502"/>
          <c:h val="0.34543820969747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碍子!$B$4:$B$6</c:f>
              <c:numCache>
                <c:formatCode>0.0</c:formatCode>
                <c:ptCount val="3"/>
                <c:pt idx="0">
                  <c:v>92.044799999999995</c:v>
                </c:pt>
                <c:pt idx="1">
                  <c:v>92.721599999999995</c:v>
                </c:pt>
                <c:pt idx="2">
                  <c:v>93.398399999999995</c:v>
                </c:pt>
              </c:numCache>
            </c:numRef>
          </c:xVal>
          <c:yVal>
            <c:numRef>
              <c:f>碍子!$M$4:$M$6</c:f>
              <c:numCache>
                <c:formatCode>General</c:formatCode>
                <c:ptCount val="3"/>
                <c:pt idx="0">
                  <c:v>0</c:v>
                </c:pt>
                <c:pt idx="1">
                  <c:v>30</c:v>
                </c:pt>
                <c:pt idx="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5-4708-A035-8FA698BE6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402143"/>
        <c:axId val="997406943"/>
      </c:scatterChart>
      <c:valAx>
        <c:axId val="99740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7406943"/>
        <c:crosses val="autoZero"/>
        <c:crossBetween val="midCat"/>
      </c:valAx>
      <c:valAx>
        <c:axId val="99740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740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</xdr:row>
      <xdr:rowOff>0</xdr:rowOff>
    </xdr:from>
    <xdr:to>
      <xdr:col>44</xdr:col>
      <xdr:colOff>38100</xdr:colOff>
      <xdr:row>17</xdr:row>
      <xdr:rowOff>257175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18B2E7B-AF9D-4D23-A03F-7AD595071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44</xdr:col>
      <xdr:colOff>38100</xdr:colOff>
      <xdr:row>35</xdr:row>
      <xdr:rowOff>257175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EED72601-E490-46EC-9CB2-AF877C9C5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46</xdr:row>
      <xdr:rowOff>0</xdr:rowOff>
    </xdr:from>
    <xdr:to>
      <xdr:col>44</xdr:col>
      <xdr:colOff>38100</xdr:colOff>
      <xdr:row>62</xdr:row>
      <xdr:rowOff>257175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98784142-9371-49B8-8823-796E54A7F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64</xdr:row>
      <xdr:rowOff>0</xdr:rowOff>
    </xdr:from>
    <xdr:to>
      <xdr:col>44</xdr:col>
      <xdr:colOff>38100</xdr:colOff>
      <xdr:row>80</xdr:row>
      <xdr:rowOff>257175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ADCA5B66-CF69-40D6-B5BC-C0D75CE96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0</xdr:colOff>
      <xdr:row>6</xdr:row>
      <xdr:rowOff>0</xdr:rowOff>
    </xdr:from>
    <xdr:to>
      <xdr:col>58</xdr:col>
      <xdr:colOff>304800</xdr:colOff>
      <xdr:row>22</xdr:row>
      <xdr:rowOff>257175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20C406A-A4CD-48AA-A72A-38FB6C058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389659</xdr:colOff>
      <xdr:row>13</xdr:row>
      <xdr:rowOff>148071</xdr:rowOff>
    </xdr:from>
    <xdr:to>
      <xdr:col>13</xdr:col>
      <xdr:colOff>294409</xdr:colOff>
      <xdr:row>25</xdr:row>
      <xdr:rowOff>189635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8D02B4F-B9E6-F1C8-8A26-5B029B611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showGridLines="0" workbookViewId="0">
      <selection activeCell="D19" sqref="D19"/>
    </sheetView>
  </sheetViews>
  <sheetFormatPr defaultColWidth="9" defaultRowHeight="18"/>
  <cols>
    <col min="1" max="1" width="9" style="8"/>
    <col min="2" max="2" width="23.69921875" style="8" customWidth="1"/>
    <col min="3" max="3" width="16.09765625" style="8" customWidth="1"/>
    <col min="4" max="4" width="17" style="8" customWidth="1"/>
    <col min="5" max="16384" width="9" style="8"/>
  </cols>
  <sheetData>
    <row r="2" spans="2:5" ht="21" customHeight="1">
      <c r="B2" s="1" t="s">
        <v>0</v>
      </c>
      <c r="C2" s="1" t="s">
        <v>1</v>
      </c>
      <c r="D2" s="1" t="s">
        <v>2</v>
      </c>
      <c r="E2" s="2" t="s">
        <v>3</v>
      </c>
    </row>
    <row r="3" spans="2:5" ht="21" customHeight="1">
      <c r="B3" s="26" t="s">
        <v>4</v>
      </c>
      <c r="C3" s="3" t="s">
        <v>25</v>
      </c>
      <c r="D3" s="26" t="s">
        <v>5</v>
      </c>
      <c r="E3" s="26">
        <v>5477</v>
      </c>
    </row>
    <row r="4" spans="2:5" ht="21" customHeight="1">
      <c r="B4" s="27"/>
      <c r="C4" s="5" t="s">
        <v>24</v>
      </c>
      <c r="D4" s="27"/>
      <c r="E4" s="27"/>
    </row>
    <row r="5" spans="2:5" ht="21" customHeight="1">
      <c r="B5" s="6" t="s">
        <v>6</v>
      </c>
      <c r="C5" s="6" t="s">
        <v>22</v>
      </c>
      <c r="D5" s="6" t="s">
        <v>7</v>
      </c>
      <c r="E5" s="4">
        <v>5477</v>
      </c>
    </row>
    <row r="6" spans="2:5" ht="21" customHeight="1">
      <c r="B6" s="6" t="s">
        <v>8</v>
      </c>
      <c r="C6" s="6" t="s">
        <v>22</v>
      </c>
      <c r="D6" s="6" t="s">
        <v>9</v>
      </c>
      <c r="E6" s="4">
        <v>5477</v>
      </c>
    </row>
    <row r="7" spans="2:5" ht="21" customHeight="1">
      <c r="B7" s="6" t="s">
        <v>10</v>
      </c>
      <c r="C7" s="6" t="s">
        <v>22</v>
      </c>
      <c r="D7" s="6" t="s">
        <v>11</v>
      </c>
      <c r="E7" s="4">
        <v>5477</v>
      </c>
    </row>
    <row r="8" spans="2:5" ht="21" customHeight="1">
      <c r="B8" s="6" t="s">
        <v>23</v>
      </c>
      <c r="C8" s="6" t="s">
        <v>22</v>
      </c>
      <c r="D8" s="6" t="s">
        <v>12</v>
      </c>
      <c r="E8" s="4">
        <v>5477</v>
      </c>
    </row>
    <row r="9" spans="2:5" ht="21" customHeight="1">
      <c r="B9" s="6" t="s">
        <v>13</v>
      </c>
      <c r="C9" s="6" t="s">
        <v>22</v>
      </c>
      <c r="D9" s="6" t="s">
        <v>14</v>
      </c>
      <c r="E9" s="4">
        <v>5477</v>
      </c>
    </row>
    <row r="10" spans="2:5" ht="21" customHeight="1">
      <c r="B10" s="27" t="s">
        <v>15</v>
      </c>
      <c r="C10" s="27" t="s">
        <v>22</v>
      </c>
      <c r="D10" s="3" t="s">
        <v>26</v>
      </c>
      <c r="E10" s="6"/>
    </row>
    <row r="11" spans="2:5" ht="21" customHeight="1">
      <c r="B11" s="27"/>
      <c r="C11" s="27"/>
      <c r="D11" s="5" t="s">
        <v>27</v>
      </c>
      <c r="E11" s="6"/>
    </row>
    <row r="12" spans="2:5" ht="21" customHeight="1">
      <c r="B12" s="6" t="s">
        <v>16</v>
      </c>
      <c r="C12" s="6" t="s">
        <v>22</v>
      </c>
      <c r="D12" s="6" t="s">
        <v>17</v>
      </c>
      <c r="E12" s="6"/>
    </row>
    <row r="13" spans="2:5" ht="21" customHeight="1">
      <c r="B13" s="7" t="s">
        <v>18</v>
      </c>
      <c r="C13" s="7" t="s">
        <v>19</v>
      </c>
      <c r="D13" s="7" t="s">
        <v>20</v>
      </c>
      <c r="E13" s="7" t="s">
        <v>21</v>
      </c>
    </row>
  </sheetData>
  <mergeCells count="5">
    <mergeCell ref="B3:B4"/>
    <mergeCell ref="D3:D4"/>
    <mergeCell ref="E3:E4"/>
    <mergeCell ref="B10:B11"/>
    <mergeCell ref="C10:C1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5DEE-EB96-47F1-97B7-7421E7986026}">
  <dimension ref="B2:V56"/>
  <sheetViews>
    <sheetView showGridLines="0" topLeftCell="K18" zoomScaleNormal="100" workbookViewId="0">
      <selection activeCell="B50" sqref="B50:N56"/>
    </sheetView>
  </sheetViews>
  <sheetFormatPr defaultColWidth="9" defaultRowHeight="21" customHeight="1"/>
  <cols>
    <col min="1" max="1" width="9" style="8"/>
    <col min="2" max="49" width="3.5" style="8" customWidth="1"/>
    <col min="50" max="16384" width="9" style="8"/>
  </cols>
  <sheetData>
    <row r="2" spans="2:22" ht="21" customHeight="1">
      <c r="B2" s="35" t="s">
        <v>40</v>
      </c>
      <c r="C2" s="35"/>
      <c r="D2" s="35"/>
      <c r="E2" s="35" t="s">
        <v>41</v>
      </c>
      <c r="F2" s="35"/>
      <c r="G2" s="35"/>
      <c r="H2" s="35"/>
      <c r="I2" s="35" t="s">
        <v>29</v>
      </c>
      <c r="J2" s="35"/>
      <c r="K2" s="35"/>
      <c r="L2" s="35"/>
      <c r="M2" s="35" t="s">
        <v>37</v>
      </c>
      <c r="N2" s="35"/>
      <c r="O2" s="35"/>
      <c r="P2" s="35"/>
      <c r="Q2" s="35"/>
      <c r="R2" s="35"/>
      <c r="S2" s="35"/>
      <c r="T2" s="11"/>
      <c r="U2" s="11"/>
      <c r="V2" s="11"/>
    </row>
    <row r="3" spans="2:22" ht="21" customHeight="1">
      <c r="B3" s="35">
        <v>24</v>
      </c>
      <c r="C3" s="35"/>
      <c r="D3" s="35"/>
      <c r="E3" s="35">
        <v>986</v>
      </c>
      <c r="F3" s="35"/>
      <c r="G3" s="35"/>
      <c r="H3" s="35"/>
      <c r="I3" s="45">
        <f>0.289*(E3/(273+B3))</f>
        <v>0.95944107744107743</v>
      </c>
      <c r="J3" s="45"/>
      <c r="K3" s="45"/>
      <c r="L3" s="45"/>
      <c r="M3" s="45">
        <f>0.294*(E3/(273+B3))</f>
        <v>0.97604040404040404</v>
      </c>
      <c r="N3" s="45"/>
      <c r="O3" s="45"/>
      <c r="P3" s="45"/>
      <c r="Q3" s="45"/>
      <c r="R3" s="45"/>
      <c r="S3" s="45"/>
      <c r="T3" s="11"/>
      <c r="U3" s="11"/>
      <c r="V3" s="11"/>
    </row>
    <row r="6" spans="2:22" ht="21" customHeight="1">
      <c r="B6" s="8" t="s">
        <v>33</v>
      </c>
      <c r="E6" s="8">
        <v>16.100000000000001</v>
      </c>
    </row>
    <row r="7" spans="2:22" ht="21" customHeight="1">
      <c r="B7" s="32" t="s">
        <v>42</v>
      </c>
      <c r="C7" s="33"/>
      <c r="D7" s="33"/>
      <c r="E7" s="33"/>
      <c r="F7" s="35" t="s">
        <v>43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</row>
    <row r="8" spans="2:22" ht="21" customHeight="1">
      <c r="B8" s="37"/>
      <c r="C8" s="37"/>
      <c r="D8" s="37"/>
      <c r="E8" s="37"/>
      <c r="F8" s="37" t="s">
        <v>30</v>
      </c>
      <c r="G8" s="37"/>
      <c r="H8" s="37"/>
      <c r="I8" s="41" t="s">
        <v>28</v>
      </c>
      <c r="J8" s="41"/>
      <c r="K8" s="41"/>
      <c r="L8" s="41"/>
      <c r="M8" s="41"/>
      <c r="N8" s="41"/>
      <c r="O8" s="41"/>
      <c r="P8" s="41"/>
      <c r="Q8" s="41"/>
    </row>
    <row r="9" spans="2:22" ht="21" customHeight="1">
      <c r="B9" s="34"/>
      <c r="C9" s="34"/>
      <c r="D9" s="34"/>
      <c r="E9" s="34"/>
      <c r="F9" s="34"/>
      <c r="G9" s="34"/>
      <c r="H9" s="34"/>
      <c r="I9" s="36" t="s">
        <v>31</v>
      </c>
      <c r="J9" s="36"/>
      <c r="K9" s="36"/>
      <c r="L9" s="36" t="s">
        <v>32</v>
      </c>
      <c r="M9" s="36"/>
      <c r="N9" s="36"/>
      <c r="O9" s="36" t="s">
        <v>56</v>
      </c>
      <c r="P9" s="36"/>
      <c r="Q9" s="36"/>
    </row>
    <row r="10" spans="2:22" ht="21" customHeight="1">
      <c r="B10" s="28">
        <v>0.4</v>
      </c>
      <c r="C10" s="28"/>
      <c r="D10" s="28"/>
      <c r="E10" s="28"/>
      <c r="F10" s="29">
        <f>23.85*$I$3*(1+(0.329/(SQRT($I$3*B10))))*B10</f>
        <v>14.01404336765726</v>
      </c>
      <c r="G10" s="29"/>
      <c r="H10" s="29"/>
      <c r="I10" s="28">
        <v>13.3</v>
      </c>
      <c r="J10" s="28"/>
      <c r="K10" s="28"/>
      <c r="L10" s="28">
        <v>13.3</v>
      </c>
      <c r="M10" s="28"/>
      <c r="N10" s="28"/>
      <c r="O10" s="29">
        <f>AVERAGE(I10:N10)</f>
        <v>13.3</v>
      </c>
      <c r="P10" s="29"/>
      <c r="Q10" s="29"/>
    </row>
    <row r="11" spans="2:22" ht="21" customHeight="1">
      <c r="B11" s="28">
        <v>0.7</v>
      </c>
      <c r="C11" s="28"/>
      <c r="D11" s="28"/>
      <c r="E11" s="28"/>
      <c r="F11" s="29">
        <f t="shared" ref="F11:F14" si="0">23.85*$I$3*(1+(0.329/(SQRT($I$3*B11))))*B11</f>
        <v>22.448334924243291</v>
      </c>
      <c r="G11" s="29"/>
      <c r="H11" s="29"/>
      <c r="I11" s="28">
        <v>21.7</v>
      </c>
      <c r="J11" s="28"/>
      <c r="K11" s="28"/>
      <c r="L11" s="28">
        <v>21.9</v>
      </c>
      <c r="M11" s="28"/>
      <c r="N11" s="28"/>
      <c r="O11" s="29">
        <f t="shared" ref="O11:O14" si="1">AVERAGE(I11:N11)</f>
        <v>21.799999999999997</v>
      </c>
      <c r="P11" s="29"/>
      <c r="Q11" s="29"/>
    </row>
    <row r="12" spans="2:22" ht="21" customHeight="1">
      <c r="B12" s="28">
        <v>1</v>
      </c>
      <c r="C12" s="28"/>
      <c r="D12" s="28"/>
      <c r="E12" s="28"/>
      <c r="F12" s="29">
        <f t="shared" si="0"/>
        <v>30.568546794508553</v>
      </c>
      <c r="G12" s="29"/>
      <c r="H12" s="29"/>
      <c r="I12" s="28">
        <v>30.9</v>
      </c>
      <c r="J12" s="28"/>
      <c r="K12" s="28"/>
      <c r="L12" s="28">
        <v>31</v>
      </c>
      <c r="M12" s="28"/>
      <c r="N12" s="28"/>
      <c r="O12" s="29">
        <f t="shared" si="1"/>
        <v>30.95</v>
      </c>
      <c r="P12" s="29"/>
      <c r="Q12" s="29"/>
    </row>
    <row r="13" spans="2:22" ht="21" customHeight="1">
      <c r="B13" s="28">
        <v>1.3</v>
      </c>
      <c r="C13" s="28"/>
      <c r="D13" s="28"/>
      <c r="E13" s="28"/>
      <c r="F13" s="29">
        <f t="shared" si="0"/>
        <v>38.510718793006703</v>
      </c>
      <c r="G13" s="29"/>
      <c r="H13" s="29"/>
      <c r="I13" s="28">
        <v>38.299999999999997</v>
      </c>
      <c r="J13" s="28"/>
      <c r="K13" s="28"/>
      <c r="L13" s="28">
        <v>37.9</v>
      </c>
      <c r="M13" s="28"/>
      <c r="N13" s="28"/>
      <c r="O13" s="29">
        <f t="shared" si="1"/>
        <v>38.099999999999994</v>
      </c>
      <c r="P13" s="29"/>
      <c r="Q13" s="29"/>
    </row>
    <row r="14" spans="2:22" ht="21" customHeight="1">
      <c r="B14" s="30">
        <v>1.6</v>
      </c>
      <c r="C14" s="30"/>
      <c r="D14" s="30"/>
      <c r="E14" s="30"/>
      <c r="F14" s="31">
        <f t="shared" si="0"/>
        <v>46.334222492890284</v>
      </c>
      <c r="G14" s="31"/>
      <c r="H14" s="31"/>
      <c r="I14" s="30">
        <v>46.7</v>
      </c>
      <c r="J14" s="30"/>
      <c r="K14" s="30"/>
      <c r="L14" s="30">
        <v>46.1</v>
      </c>
      <c r="M14" s="30"/>
      <c r="N14" s="30"/>
      <c r="O14" s="31">
        <f t="shared" si="1"/>
        <v>46.400000000000006</v>
      </c>
      <c r="P14" s="31"/>
      <c r="Q14" s="31"/>
    </row>
    <row r="17" spans="2:21" ht="21" customHeight="1">
      <c r="B17" s="8" t="s">
        <v>34</v>
      </c>
      <c r="E17" s="8" t="s">
        <v>38</v>
      </c>
      <c r="G17" s="8">
        <v>5</v>
      </c>
      <c r="H17" s="8" t="s">
        <v>39</v>
      </c>
    </row>
    <row r="18" spans="2:21" ht="21" customHeight="1">
      <c r="B18" s="32" t="s">
        <v>42</v>
      </c>
      <c r="C18" s="33"/>
      <c r="D18" s="33"/>
      <c r="E18" s="33"/>
      <c r="F18" s="35" t="s">
        <v>43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2" t="s">
        <v>35</v>
      </c>
      <c r="S18" s="33"/>
      <c r="T18" s="33"/>
    </row>
    <row r="19" spans="2:21" ht="21" customHeight="1">
      <c r="B19" s="37"/>
      <c r="C19" s="37"/>
      <c r="D19" s="37"/>
      <c r="E19" s="37"/>
      <c r="F19" s="37" t="s">
        <v>30</v>
      </c>
      <c r="G19" s="37"/>
      <c r="H19" s="37"/>
      <c r="I19" s="41" t="s">
        <v>28</v>
      </c>
      <c r="J19" s="41"/>
      <c r="K19" s="41"/>
      <c r="L19" s="41"/>
      <c r="M19" s="41"/>
      <c r="N19" s="41"/>
      <c r="O19" s="41"/>
      <c r="P19" s="41"/>
      <c r="Q19" s="41"/>
      <c r="R19" s="37"/>
      <c r="S19" s="37"/>
      <c r="T19" s="37"/>
    </row>
    <row r="20" spans="2:21" ht="21" customHeight="1">
      <c r="B20" s="34"/>
      <c r="C20" s="34"/>
      <c r="D20" s="34"/>
      <c r="E20" s="34"/>
      <c r="F20" s="34"/>
      <c r="G20" s="34"/>
      <c r="H20" s="34"/>
      <c r="I20" s="36" t="s">
        <v>31</v>
      </c>
      <c r="J20" s="36"/>
      <c r="K20" s="36"/>
      <c r="L20" s="36" t="s">
        <v>32</v>
      </c>
      <c r="M20" s="36"/>
      <c r="N20" s="36"/>
      <c r="O20" s="36" t="s">
        <v>56</v>
      </c>
      <c r="P20" s="36"/>
      <c r="Q20" s="36"/>
      <c r="R20" s="34"/>
      <c r="S20" s="34"/>
      <c r="T20" s="34"/>
    </row>
    <row r="21" spans="2:21" ht="21" customHeight="1">
      <c r="B21" s="28">
        <v>0.4</v>
      </c>
      <c r="C21" s="28"/>
      <c r="D21" s="28"/>
      <c r="E21" s="28"/>
      <c r="F21" s="29">
        <f>27.9*$I$3*(1+(0.533/(SQRT($I$3*$G$17))))*(B21/R21)</f>
        <v>12.965411979031114</v>
      </c>
      <c r="G21" s="29"/>
      <c r="H21" s="29"/>
      <c r="I21" s="37">
        <v>13.9</v>
      </c>
      <c r="J21" s="37"/>
      <c r="K21" s="37"/>
      <c r="L21" s="37">
        <v>13.7</v>
      </c>
      <c r="M21" s="37"/>
      <c r="N21" s="37"/>
      <c r="O21" s="29">
        <f>AVERAGE(I21:N21)</f>
        <v>13.8</v>
      </c>
      <c r="P21" s="29"/>
      <c r="Q21" s="29"/>
      <c r="R21" s="43">
        <f>1+(1/3)*(B21/$G$17)+(1/45)*POWER((B21/$G$17),2)+(73/53760)*POWER((B21/$G$17),3)</f>
        <v>1.0268095841269842</v>
      </c>
      <c r="S21" s="43"/>
      <c r="T21" s="43"/>
    </row>
    <row r="22" spans="2:21" ht="21" customHeight="1">
      <c r="B22" s="28">
        <v>0.7</v>
      </c>
      <c r="C22" s="28"/>
      <c r="D22" s="28"/>
      <c r="E22" s="28"/>
      <c r="F22" s="29">
        <f t="shared" ref="F22:F25" si="2">27.9*$I$3*(1+(0.533/(SQRT($I$3*$G$17))))*(B22/R22)</f>
        <v>22.249674240242669</v>
      </c>
      <c r="G22" s="29"/>
      <c r="H22" s="29"/>
      <c r="I22" s="37">
        <v>22.6</v>
      </c>
      <c r="J22" s="37"/>
      <c r="K22" s="37"/>
      <c r="L22" s="37">
        <v>22.5</v>
      </c>
      <c r="M22" s="37"/>
      <c r="N22" s="37"/>
      <c r="O22" s="29">
        <f t="shared" ref="O22:O25" si="3">AVERAGE(I22:N22)</f>
        <v>22.55</v>
      </c>
      <c r="P22" s="29"/>
      <c r="Q22" s="29"/>
      <c r="R22" s="43">
        <f t="shared" ref="R22:R25" si="4">1+(1/3)*(B22/$G$17)+(1/45)*POWER((B22/$G$17),2)+(73/53760)*POWER((B22/$G$17),3)</f>
        <v>1.0471059482638889</v>
      </c>
      <c r="S22" s="43"/>
      <c r="T22" s="43"/>
    </row>
    <row r="23" spans="2:21" ht="21" customHeight="1">
      <c r="B23" s="28">
        <v>1</v>
      </c>
      <c r="C23" s="28"/>
      <c r="D23" s="28"/>
      <c r="E23" s="28"/>
      <c r="F23" s="29">
        <f t="shared" si="2"/>
        <v>31.17606794678203</v>
      </c>
      <c r="G23" s="29"/>
      <c r="H23" s="29"/>
      <c r="I23" s="37">
        <v>32.4</v>
      </c>
      <c r="J23" s="37"/>
      <c r="K23" s="37"/>
      <c r="L23" s="37">
        <v>32.4</v>
      </c>
      <c r="M23" s="37"/>
      <c r="N23" s="37"/>
      <c r="O23" s="29">
        <f t="shared" si="3"/>
        <v>32.4</v>
      </c>
      <c r="P23" s="29"/>
      <c r="Q23" s="29"/>
      <c r="R23" s="43">
        <f t="shared" si="4"/>
        <v>1.0675664186507936</v>
      </c>
      <c r="S23" s="43"/>
      <c r="T23" s="43"/>
    </row>
    <row r="24" spans="2:21" ht="21" customHeight="1">
      <c r="B24" s="28">
        <v>1.3</v>
      </c>
      <c r="C24" s="28"/>
      <c r="D24" s="28"/>
      <c r="E24" s="28"/>
      <c r="F24" s="29">
        <f t="shared" si="2"/>
        <v>39.760676556690449</v>
      </c>
      <c r="G24" s="29"/>
      <c r="H24" s="29"/>
      <c r="I24" s="28">
        <v>41</v>
      </c>
      <c r="J24" s="28"/>
      <c r="K24" s="28"/>
      <c r="L24" s="28">
        <v>41</v>
      </c>
      <c r="M24" s="28"/>
      <c r="N24" s="28"/>
      <c r="O24" s="29">
        <f t="shared" si="3"/>
        <v>41</v>
      </c>
      <c r="P24" s="29"/>
      <c r="Q24" s="29"/>
      <c r="R24" s="43">
        <f t="shared" si="4"/>
        <v>1.0881927551091271</v>
      </c>
      <c r="S24" s="43"/>
      <c r="T24" s="43"/>
      <c r="U24" s="8" t="s">
        <v>72</v>
      </c>
    </row>
    <row r="25" spans="2:21" ht="21" customHeight="1">
      <c r="B25" s="30">
        <v>1.6</v>
      </c>
      <c r="C25" s="30"/>
      <c r="D25" s="30"/>
      <c r="E25" s="30"/>
      <c r="F25" s="31">
        <f t="shared" si="2"/>
        <v>48.018642866028131</v>
      </c>
      <c r="G25" s="31"/>
      <c r="H25" s="31"/>
      <c r="I25" s="34">
        <v>48.2</v>
      </c>
      <c r="J25" s="34"/>
      <c r="K25" s="34"/>
      <c r="L25" s="34">
        <v>48.2</v>
      </c>
      <c r="M25" s="34"/>
      <c r="N25" s="34"/>
      <c r="O25" s="31">
        <f t="shared" si="3"/>
        <v>48.2</v>
      </c>
      <c r="P25" s="31"/>
      <c r="Q25" s="31"/>
      <c r="R25" s="44">
        <f t="shared" si="4"/>
        <v>1.1089867174603174</v>
      </c>
      <c r="S25" s="44"/>
      <c r="T25" s="44"/>
    </row>
    <row r="28" spans="2:21" ht="21" customHeight="1">
      <c r="B28" s="8" t="s">
        <v>36</v>
      </c>
    </row>
    <row r="29" spans="2:21" ht="21" customHeight="1">
      <c r="B29" s="32" t="s">
        <v>42</v>
      </c>
      <c r="C29" s="32"/>
      <c r="D29" s="32"/>
      <c r="E29" s="32"/>
      <c r="F29" s="35" t="s">
        <v>43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</row>
    <row r="30" spans="2:21" ht="21" customHeight="1">
      <c r="B30" s="39"/>
      <c r="C30" s="39"/>
      <c r="D30" s="39"/>
      <c r="E30" s="39"/>
      <c r="F30" s="33" t="s">
        <v>30</v>
      </c>
      <c r="G30" s="33"/>
      <c r="H30" s="33"/>
      <c r="I30" s="41" t="s">
        <v>28</v>
      </c>
      <c r="J30" s="41"/>
      <c r="K30" s="41"/>
      <c r="L30" s="41"/>
      <c r="M30" s="41"/>
      <c r="N30" s="41"/>
      <c r="O30" s="41"/>
      <c r="P30" s="41"/>
      <c r="Q30" s="41"/>
    </row>
    <row r="31" spans="2:21" ht="21" customHeight="1">
      <c r="B31" s="40"/>
      <c r="C31" s="40"/>
      <c r="D31" s="40"/>
      <c r="E31" s="40"/>
      <c r="F31" s="34"/>
      <c r="G31" s="34"/>
      <c r="H31" s="34"/>
      <c r="I31" s="41" t="s">
        <v>31</v>
      </c>
      <c r="J31" s="41"/>
      <c r="K31" s="41"/>
      <c r="L31" s="41" t="s">
        <v>32</v>
      </c>
      <c r="M31" s="41"/>
      <c r="N31" s="41"/>
      <c r="O31" s="41" t="s">
        <v>56</v>
      </c>
      <c r="P31" s="41"/>
      <c r="Q31" s="41"/>
    </row>
    <row r="32" spans="2:21" ht="21" customHeight="1">
      <c r="B32" s="42">
        <v>1</v>
      </c>
      <c r="C32" s="42"/>
      <c r="D32" s="42"/>
      <c r="E32" s="42"/>
      <c r="F32" s="38">
        <f>(18.4+5.01*B32)*$M$3</f>
        <v>22.849105858585855</v>
      </c>
      <c r="G32" s="38"/>
      <c r="H32" s="38"/>
      <c r="I32" s="33">
        <v>8.8000000000000007</v>
      </c>
      <c r="J32" s="33"/>
      <c r="K32" s="33"/>
      <c r="L32" s="33">
        <v>8.6</v>
      </c>
      <c r="M32" s="33"/>
      <c r="N32" s="33"/>
      <c r="O32" s="38">
        <f>AVERAGE(I32:N32)</f>
        <v>8.6999999999999993</v>
      </c>
      <c r="P32" s="38"/>
      <c r="Q32" s="38"/>
    </row>
    <row r="33" spans="2:17" ht="21" customHeight="1">
      <c r="B33" s="28">
        <v>2</v>
      </c>
      <c r="C33" s="28"/>
      <c r="D33" s="28"/>
      <c r="E33" s="28"/>
      <c r="F33" s="29">
        <f t="shared" ref="F33:F36" si="5">(18.4+5.01*B33)*$M$3</f>
        <v>27.739068282828281</v>
      </c>
      <c r="G33" s="29"/>
      <c r="H33" s="29"/>
      <c r="I33" s="37">
        <v>21.9</v>
      </c>
      <c r="J33" s="37"/>
      <c r="K33" s="37"/>
      <c r="L33" s="37">
        <v>21.7</v>
      </c>
      <c r="M33" s="37"/>
      <c r="N33" s="37"/>
      <c r="O33" s="29">
        <f t="shared" ref="O33:O36" si="6">AVERAGE(I33:N33)</f>
        <v>21.799999999999997</v>
      </c>
      <c r="P33" s="29"/>
      <c r="Q33" s="29"/>
    </row>
    <row r="34" spans="2:17" ht="21" customHeight="1">
      <c r="B34" s="28">
        <v>3</v>
      </c>
      <c r="C34" s="28"/>
      <c r="D34" s="28"/>
      <c r="E34" s="28"/>
      <c r="F34" s="29">
        <f t="shared" si="5"/>
        <v>32.629030707070704</v>
      </c>
      <c r="G34" s="29"/>
      <c r="H34" s="29"/>
      <c r="I34" s="37">
        <v>31.4</v>
      </c>
      <c r="J34" s="37"/>
      <c r="K34" s="37"/>
      <c r="L34" s="37">
        <v>31.4</v>
      </c>
      <c r="M34" s="37"/>
      <c r="N34" s="37"/>
      <c r="O34" s="29">
        <f t="shared" si="6"/>
        <v>31.4</v>
      </c>
      <c r="P34" s="29"/>
      <c r="Q34" s="29"/>
    </row>
    <row r="35" spans="2:17" ht="21" customHeight="1">
      <c r="B35" s="28">
        <v>4</v>
      </c>
      <c r="C35" s="28"/>
      <c r="D35" s="28"/>
      <c r="E35" s="28"/>
      <c r="F35" s="29">
        <f t="shared" si="5"/>
        <v>37.518993131313131</v>
      </c>
      <c r="G35" s="29"/>
      <c r="H35" s="29"/>
      <c r="I35" s="37">
        <v>40.799999999999997</v>
      </c>
      <c r="J35" s="37"/>
      <c r="K35" s="37"/>
      <c r="L35" s="28">
        <v>41</v>
      </c>
      <c r="M35" s="28"/>
      <c r="N35" s="28"/>
      <c r="O35" s="29">
        <f t="shared" si="6"/>
        <v>40.9</v>
      </c>
      <c r="P35" s="29"/>
      <c r="Q35" s="29"/>
    </row>
    <row r="36" spans="2:17" ht="21" customHeight="1">
      <c r="B36" s="30">
        <v>5</v>
      </c>
      <c r="C36" s="30"/>
      <c r="D36" s="30"/>
      <c r="E36" s="30"/>
      <c r="F36" s="31">
        <f t="shared" si="5"/>
        <v>42.408955555555551</v>
      </c>
      <c r="G36" s="31"/>
      <c r="H36" s="31"/>
      <c r="I36" s="34">
        <v>48.4</v>
      </c>
      <c r="J36" s="34"/>
      <c r="K36" s="34"/>
      <c r="L36" s="34">
        <v>48.4</v>
      </c>
      <c r="M36" s="34"/>
      <c r="N36" s="34"/>
      <c r="O36" s="31">
        <f t="shared" si="6"/>
        <v>48.4</v>
      </c>
      <c r="P36" s="31"/>
      <c r="Q36" s="31"/>
    </row>
    <row r="39" spans="2:17" ht="21" customHeight="1">
      <c r="B39" s="8" t="s">
        <v>44</v>
      </c>
    </row>
    <row r="40" spans="2:17" ht="21" customHeight="1">
      <c r="B40" s="32" t="s">
        <v>42</v>
      </c>
      <c r="C40" s="33"/>
      <c r="D40" s="33"/>
      <c r="E40" s="33"/>
      <c r="F40" s="35" t="s">
        <v>43</v>
      </c>
      <c r="G40" s="35"/>
      <c r="H40" s="35"/>
      <c r="I40" s="35"/>
      <c r="J40" s="35"/>
      <c r="K40" s="35"/>
      <c r="L40" s="35"/>
      <c r="M40" s="35"/>
      <c r="N40" s="35"/>
    </row>
    <row r="41" spans="2:17" ht="21" customHeight="1">
      <c r="B41" s="34"/>
      <c r="C41" s="34"/>
      <c r="D41" s="34"/>
      <c r="E41" s="34"/>
      <c r="F41" s="36" t="s">
        <v>31</v>
      </c>
      <c r="G41" s="36"/>
      <c r="H41" s="36"/>
      <c r="I41" s="36" t="s">
        <v>32</v>
      </c>
      <c r="J41" s="36"/>
      <c r="K41" s="36"/>
      <c r="L41" s="36" t="s">
        <v>56</v>
      </c>
      <c r="M41" s="36"/>
      <c r="N41" s="36"/>
    </row>
    <row r="42" spans="2:17" ht="21" customHeight="1">
      <c r="B42" s="28">
        <v>0.4</v>
      </c>
      <c r="C42" s="28"/>
      <c r="D42" s="28"/>
      <c r="E42" s="28"/>
      <c r="F42" s="28">
        <v>5.5</v>
      </c>
      <c r="G42" s="28"/>
      <c r="H42" s="28"/>
      <c r="I42" s="28">
        <v>5.6</v>
      </c>
      <c r="J42" s="28"/>
      <c r="K42" s="28"/>
      <c r="L42" s="29">
        <f>AVERAGE(F42:K42)</f>
        <v>5.55</v>
      </c>
      <c r="M42" s="29"/>
      <c r="N42" s="29"/>
    </row>
    <row r="43" spans="2:17" ht="21" customHeight="1">
      <c r="B43" s="28">
        <v>0.7</v>
      </c>
      <c r="C43" s="28"/>
      <c r="D43" s="28"/>
      <c r="E43" s="28"/>
      <c r="F43" s="28">
        <v>9</v>
      </c>
      <c r="G43" s="28"/>
      <c r="H43" s="28"/>
      <c r="I43" s="28">
        <v>9.1</v>
      </c>
      <c r="J43" s="28"/>
      <c r="K43" s="28"/>
      <c r="L43" s="29">
        <f t="shared" ref="L43:L46" si="7">AVERAGE(F43:K43)</f>
        <v>9.0500000000000007</v>
      </c>
      <c r="M43" s="29"/>
      <c r="N43" s="29"/>
    </row>
    <row r="44" spans="2:17" ht="21" customHeight="1">
      <c r="B44" s="28">
        <v>1</v>
      </c>
      <c r="C44" s="28"/>
      <c r="D44" s="28"/>
      <c r="E44" s="28"/>
      <c r="F44" s="28">
        <v>11.9</v>
      </c>
      <c r="G44" s="28"/>
      <c r="H44" s="28"/>
      <c r="I44" s="28">
        <v>11.9</v>
      </c>
      <c r="J44" s="28"/>
      <c r="K44" s="28"/>
      <c r="L44" s="29">
        <f t="shared" si="7"/>
        <v>11.9</v>
      </c>
      <c r="M44" s="29"/>
      <c r="N44" s="29"/>
    </row>
    <row r="45" spans="2:17" ht="21" customHeight="1">
      <c r="B45" s="28">
        <v>1.3</v>
      </c>
      <c r="C45" s="28"/>
      <c r="D45" s="28"/>
      <c r="E45" s="28"/>
      <c r="F45" s="28">
        <v>14.6</v>
      </c>
      <c r="G45" s="28"/>
      <c r="H45" s="28"/>
      <c r="I45" s="28">
        <v>15</v>
      </c>
      <c r="J45" s="28"/>
      <c r="K45" s="28"/>
      <c r="L45" s="29">
        <f t="shared" si="7"/>
        <v>14.8</v>
      </c>
      <c r="M45" s="29"/>
      <c r="N45" s="29"/>
    </row>
    <row r="46" spans="2:17" ht="21" customHeight="1">
      <c r="B46" s="30">
        <v>1.6</v>
      </c>
      <c r="C46" s="30"/>
      <c r="D46" s="30"/>
      <c r="E46" s="30"/>
      <c r="F46" s="30">
        <v>18.5</v>
      </c>
      <c r="G46" s="30"/>
      <c r="H46" s="30"/>
      <c r="I46" s="30">
        <v>18.5</v>
      </c>
      <c r="J46" s="30"/>
      <c r="K46" s="30"/>
      <c r="L46" s="31">
        <f t="shared" si="7"/>
        <v>18.5</v>
      </c>
      <c r="M46" s="31"/>
      <c r="N46" s="31"/>
    </row>
    <row r="49" spans="2:14" ht="21" customHeight="1">
      <c r="B49" s="8" t="s">
        <v>45</v>
      </c>
    </row>
    <row r="50" spans="2:14" ht="21" customHeight="1">
      <c r="B50" s="32" t="s">
        <v>42</v>
      </c>
      <c r="C50" s="33"/>
      <c r="D50" s="33"/>
      <c r="E50" s="33"/>
      <c r="F50" s="35" t="s">
        <v>43</v>
      </c>
      <c r="G50" s="35"/>
      <c r="H50" s="35"/>
      <c r="I50" s="35"/>
      <c r="J50" s="35"/>
      <c r="K50" s="35"/>
      <c r="L50" s="35"/>
      <c r="M50" s="35"/>
      <c r="N50" s="35"/>
    </row>
    <row r="51" spans="2:14" ht="21" customHeight="1">
      <c r="B51" s="34"/>
      <c r="C51" s="34"/>
      <c r="D51" s="34"/>
      <c r="E51" s="34"/>
      <c r="F51" s="36" t="s">
        <v>31</v>
      </c>
      <c r="G51" s="36"/>
      <c r="H51" s="36"/>
      <c r="I51" s="36" t="s">
        <v>32</v>
      </c>
      <c r="J51" s="36"/>
      <c r="K51" s="36"/>
      <c r="L51" s="36" t="s">
        <v>56</v>
      </c>
      <c r="M51" s="36"/>
      <c r="N51" s="36"/>
    </row>
    <row r="52" spans="2:14" ht="21" customHeight="1">
      <c r="B52" s="28">
        <v>0.4</v>
      </c>
      <c r="C52" s="28"/>
      <c r="D52" s="28"/>
      <c r="E52" s="28"/>
      <c r="F52" s="28">
        <v>7.3</v>
      </c>
      <c r="G52" s="28"/>
      <c r="H52" s="28"/>
      <c r="I52" s="28">
        <v>7.3</v>
      </c>
      <c r="J52" s="28"/>
      <c r="K52" s="28"/>
      <c r="L52" s="29">
        <f>AVERAGE(F52:K52)</f>
        <v>7.3</v>
      </c>
      <c r="M52" s="29"/>
      <c r="N52" s="29"/>
    </row>
    <row r="53" spans="2:14" ht="21" customHeight="1">
      <c r="B53" s="28">
        <v>0.7</v>
      </c>
      <c r="C53" s="28"/>
      <c r="D53" s="28"/>
      <c r="E53" s="28"/>
      <c r="F53" s="28">
        <v>12.2</v>
      </c>
      <c r="G53" s="28"/>
      <c r="H53" s="28"/>
      <c r="I53" s="28">
        <v>12.2</v>
      </c>
      <c r="J53" s="28"/>
      <c r="K53" s="28"/>
      <c r="L53" s="29">
        <f t="shared" ref="L53:L56" si="8">AVERAGE(F53:K53)</f>
        <v>12.2</v>
      </c>
      <c r="M53" s="29"/>
      <c r="N53" s="29"/>
    </row>
    <row r="54" spans="2:14" ht="21" customHeight="1">
      <c r="B54" s="28">
        <v>1</v>
      </c>
      <c r="C54" s="28"/>
      <c r="D54" s="28"/>
      <c r="E54" s="28"/>
      <c r="F54" s="28">
        <v>18.7</v>
      </c>
      <c r="G54" s="28"/>
      <c r="H54" s="28"/>
      <c r="I54" s="28">
        <v>18.7</v>
      </c>
      <c r="J54" s="28"/>
      <c r="K54" s="28"/>
      <c r="L54" s="29">
        <f t="shared" si="8"/>
        <v>18.7</v>
      </c>
      <c r="M54" s="29"/>
      <c r="N54" s="29"/>
    </row>
    <row r="55" spans="2:14" ht="21" customHeight="1">
      <c r="B55" s="28">
        <v>1.3</v>
      </c>
      <c r="C55" s="28"/>
      <c r="D55" s="28"/>
      <c r="E55" s="28"/>
      <c r="F55" s="28">
        <v>25.5</v>
      </c>
      <c r="G55" s="28"/>
      <c r="H55" s="28"/>
      <c r="I55" s="28">
        <v>25.5</v>
      </c>
      <c r="J55" s="28"/>
      <c r="K55" s="28"/>
      <c r="L55" s="29">
        <f t="shared" si="8"/>
        <v>25.5</v>
      </c>
      <c r="M55" s="29"/>
      <c r="N55" s="29"/>
    </row>
    <row r="56" spans="2:14" ht="21" customHeight="1">
      <c r="B56" s="30">
        <v>1.6</v>
      </c>
      <c r="C56" s="30"/>
      <c r="D56" s="30"/>
      <c r="E56" s="30"/>
      <c r="F56" s="30">
        <v>31.7</v>
      </c>
      <c r="G56" s="30"/>
      <c r="H56" s="30"/>
      <c r="I56" s="30">
        <v>31.5</v>
      </c>
      <c r="J56" s="30"/>
      <c r="K56" s="30"/>
      <c r="L56" s="31">
        <f t="shared" si="8"/>
        <v>31.6</v>
      </c>
      <c r="M56" s="31"/>
      <c r="N56" s="31"/>
    </row>
  </sheetData>
  <mergeCells count="160">
    <mergeCell ref="O14:Q14"/>
    <mergeCell ref="L10:N10"/>
    <mergeCell ref="F10:H10"/>
    <mergeCell ref="B2:D2"/>
    <mergeCell ref="E2:H2"/>
    <mergeCell ref="I2:L2"/>
    <mergeCell ref="F7:Q7"/>
    <mergeCell ref="I8:Q8"/>
    <mergeCell ref="B10:E10"/>
    <mergeCell ref="I10:K10"/>
    <mergeCell ref="F11:H11"/>
    <mergeCell ref="F12:H12"/>
    <mergeCell ref="M2:S2"/>
    <mergeCell ref="B3:D3"/>
    <mergeCell ref="E3:H3"/>
    <mergeCell ref="I3:L3"/>
    <mergeCell ref="M3:S3"/>
    <mergeCell ref="B7:E9"/>
    <mergeCell ref="F8:H9"/>
    <mergeCell ref="I9:K9"/>
    <mergeCell ref="L9:N9"/>
    <mergeCell ref="O9:Q9"/>
    <mergeCell ref="O10:Q10"/>
    <mergeCell ref="O11:Q11"/>
    <mergeCell ref="O12:Q12"/>
    <mergeCell ref="O13:Q13"/>
    <mergeCell ref="I11:K11"/>
    <mergeCell ref="I12:K12"/>
    <mergeCell ref="I13:K13"/>
    <mergeCell ref="I14:K14"/>
    <mergeCell ref="L11:N11"/>
    <mergeCell ref="L12:N12"/>
    <mergeCell ref="L13:N13"/>
    <mergeCell ref="L14:N14"/>
    <mergeCell ref="B11:E11"/>
    <mergeCell ref="B12:E12"/>
    <mergeCell ref="B13:E13"/>
    <mergeCell ref="B14:E14"/>
    <mergeCell ref="F13:H13"/>
    <mergeCell ref="F14:H14"/>
    <mergeCell ref="L23:N23"/>
    <mergeCell ref="O23:Q23"/>
    <mergeCell ref="L20:N20"/>
    <mergeCell ref="O20:Q20"/>
    <mergeCell ref="B21:E21"/>
    <mergeCell ref="F21:H21"/>
    <mergeCell ref="I21:K21"/>
    <mergeCell ref="L21:N21"/>
    <mergeCell ref="O21:Q21"/>
    <mergeCell ref="B18:E20"/>
    <mergeCell ref="F18:Q18"/>
    <mergeCell ref="F19:H20"/>
    <mergeCell ref="I19:Q19"/>
    <mergeCell ref="I20:K20"/>
    <mergeCell ref="R18:T20"/>
    <mergeCell ref="R21:T21"/>
    <mergeCell ref="R22:T22"/>
    <mergeCell ref="R23:T23"/>
    <mergeCell ref="R24:T24"/>
    <mergeCell ref="R25:T25"/>
    <mergeCell ref="B24:E24"/>
    <mergeCell ref="F24:H24"/>
    <mergeCell ref="I24:K24"/>
    <mergeCell ref="L24:N24"/>
    <mergeCell ref="O24:Q24"/>
    <mergeCell ref="B25:E25"/>
    <mergeCell ref="F25:H25"/>
    <mergeCell ref="I25:K25"/>
    <mergeCell ref="L25:N25"/>
    <mergeCell ref="O25:Q25"/>
    <mergeCell ref="B22:E22"/>
    <mergeCell ref="F22:H22"/>
    <mergeCell ref="I22:K22"/>
    <mergeCell ref="L22:N22"/>
    <mergeCell ref="O22:Q22"/>
    <mergeCell ref="B23:E23"/>
    <mergeCell ref="F23:H23"/>
    <mergeCell ref="I23:K23"/>
    <mergeCell ref="I32:K32"/>
    <mergeCell ref="L32:N32"/>
    <mergeCell ref="O32:Q32"/>
    <mergeCell ref="B33:E33"/>
    <mergeCell ref="F33:H33"/>
    <mergeCell ref="I33:K33"/>
    <mergeCell ref="L33:N33"/>
    <mergeCell ref="O33:Q33"/>
    <mergeCell ref="B29:E31"/>
    <mergeCell ref="F29:Q29"/>
    <mergeCell ref="F30:H31"/>
    <mergeCell ref="I30:Q30"/>
    <mergeCell ref="I31:K31"/>
    <mergeCell ref="L31:N31"/>
    <mergeCell ref="O31:Q31"/>
    <mergeCell ref="B32:E32"/>
    <mergeCell ref="F32:H32"/>
    <mergeCell ref="F40:N40"/>
    <mergeCell ref="B36:E36"/>
    <mergeCell ref="F36:H36"/>
    <mergeCell ref="I36:K36"/>
    <mergeCell ref="L36:N36"/>
    <mergeCell ref="O36:Q36"/>
    <mergeCell ref="B34:E34"/>
    <mergeCell ref="F34:H34"/>
    <mergeCell ref="I34:K34"/>
    <mergeCell ref="L34:N34"/>
    <mergeCell ref="O34:Q34"/>
    <mergeCell ref="B35:E35"/>
    <mergeCell ref="F35:H35"/>
    <mergeCell ref="I35:K35"/>
    <mergeCell ref="L35:N35"/>
    <mergeCell ref="O35:Q35"/>
    <mergeCell ref="B42:E42"/>
    <mergeCell ref="B43:E43"/>
    <mergeCell ref="B44:E44"/>
    <mergeCell ref="B45:E45"/>
    <mergeCell ref="B46:E46"/>
    <mergeCell ref="F41:H41"/>
    <mergeCell ref="I41:K41"/>
    <mergeCell ref="L41:N41"/>
    <mergeCell ref="F42:H42"/>
    <mergeCell ref="F45:H45"/>
    <mergeCell ref="I45:K45"/>
    <mergeCell ref="L45:N45"/>
    <mergeCell ref="F46:H46"/>
    <mergeCell ref="I46:K46"/>
    <mergeCell ref="L46:N46"/>
    <mergeCell ref="I42:K42"/>
    <mergeCell ref="L42:N42"/>
    <mergeCell ref="F43:H43"/>
    <mergeCell ref="I43:K43"/>
    <mergeCell ref="L43:N43"/>
    <mergeCell ref="F44:H44"/>
    <mergeCell ref="I44:K44"/>
    <mergeCell ref="L44:N44"/>
    <mergeCell ref="B40:E41"/>
    <mergeCell ref="B50:E51"/>
    <mergeCell ref="F50:N50"/>
    <mergeCell ref="F51:H51"/>
    <mergeCell ref="I51:K51"/>
    <mergeCell ref="L51:N51"/>
    <mergeCell ref="B52:E52"/>
    <mergeCell ref="F52:H52"/>
    <mergeCell ref="I52:K52"/>
    <mergeCell ref="L52:N52"/>
    <mergeCell ref="B55:E55"/>
    <mergeCell ref="F55:H55"/>
    <mergeCell ref="I55:K55"/>
    <mergeCell ref="L55:N55"/>
    <mergeCell ref="B56:E56"/>
    <mergeCell ref="F56:H56"/>
    <mergeCell ref="I56:K56"/>
    <mergeCell ref="L56:N56"/>
    <mergeCell ref="B53:E53"/>
    <mergeCell ref="F53:H53"/>
    <mergeCell ref="I53:K53"/>
    <mergeCell ref="L53:N53"/>
    <mergeCell ref="B54:E54"/>
    <mergeCell ref="F54:H54"/>
    <mergeCell ref="I54:K54"/>
    <mergeCell ref="L54:N54"/>
  </mergeCells>
  <phoneticPr fontId="1"/>
  <pageMargins left="0.7" right="0.7" top="0.75" bottom="0.75" header="0.3" footer="0.3"/>
  <ignoredErrors>
    <ignoredError sqref="L42:N46 L52:N56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306E-E5E1-4E6F-9996-131C38C0388F}">
  <dimension ref="B1:X42"/>
  <sheetViews>
    <sheetView showGridLines="0" tabSelected="1" workbookViewId="0">
      <selection activeCell="E8" sqref="E8"/>
    </sheetView>
  </sheetViews>
  <sheetFormatPr defaultColWidth="9" defaultRowHeight="18"/>
  <cols>
    <col min="1" max="1" width="9" style="8"/>
    <col min="2" max="8" width="8.8984375" style="8" customWidth="1"/>
    <col min="9" max="9" width="9" style="8"/>
    <col min="10" max="24" width="3.09765625" style="8" customWidth="1"/>
    <col min="25" max="16384" width="9" style="8"/>
  </cols>
  <sheetData>
    <row r="1" spans="2:24" ht="21" customHeight="1"/>
    <row r="2" spans="2:24" ht="21" customHeight="1">
      <c r="B2" s="8" t="s">
        <v>51</v>
      </c>
    </row>
    <row r="3" spans="2:24" ht="21" customHeight="1">
      <c r="B3" s="32" t="s">
        <v>46</v>
      </c>
      <c r="C3" s="32" t="s">
        <v>47</v>
      </c>
      <c r="D3" s="32" t="s">
        <v>48</v>
      </c>
      <c r="E3" s="32" t="s">
        <v>49</v>
      </c>
      <c r="F3" s="32" t="s">
        <v>50</v>
      </c>
      <c r="G3" s="32" t="s">
        <v>53</v>
      </c>
      <c r="H3" s="32"/>
      <c r="J3" s="46"/>
      <c r="K3" s="46"/>
      <c r="L3" s="46"/>
      <c r="M3" s="46"/>
      <c r="N3" s="46" t="s">
        <v>75</v>
      </c>
      <c r="O3" s="46"/>
      <c r="P3" s="46"/>
      <c r="Q3" s="46" t="s">
        <v>76</v>
      </c>
      <c r="R3" s="46"/>
      <c r="S3" s="46"/>
      <c r="T3" s="46" t="s">
        <v>77</v>
      </c>
      <c r="U3" s="46"/>
      <c r="V3" s="46"/>
      <c r="W3" s="46"/>
      <c r="X3" s="46"/>
    </row>
    <row r="4" spans="2:24" ht="21" customHeight="1">
      <c r="B4" s="34"/>
      <c r="C4" s="34"/>
      <c r="D4" s="34"/>
      <c r="E4" s="34"/>
      <c r="F4" s="34"/>
      <c r="G4" s="40"/>
      <c r="H4" s="40"/>
      <c r="J4" s="48"/>
      <c r="K4" s="48"/>
      <c r="L4" s="48"/>
      <c r="M4" s="48"/>
      <c r="N4" s="48" t="s">
        <v>78</v>
      </c>
      <c r="O4" s="48"/>
      <c r="P4" s="48"/>
      <c r="Q4" s="48" t="s">
        <v>79</v>
      </c>
      <c r="R4" s="48"/>
      <c r="S4" s="48"/>
      <c r="T4" s="48" t="s">
        <v>80</v>
      </c>
      <c r="U4" s="48"/>
      <c r="V4" s="48"/>
      <c r="W4" s="48"/>
      <c r="X4" s="48"/>
    </row>
    <row r="5" spans="2:24" ht="21" customHeight="1">
      <c r="B5" s="10">
        <v>50.1</v>
      </c>
      <c r="C5" s="10">
        <v>46.4</v>
      </c>
      <c r="D5" s="10">
        <v>46.2</v>
      </c>
      <c r="E5" s="10">
        <v>46.9</v>
      </c>
      <c r="F5" s="10">
        <v>44.8</v>
      </c>
      <c r="G5" s="31">
        <f>AVERAGE(C5:F5)</f>
        <v>46.075000000000003</v>
      </c>
      <c r="H5" s="31"/>
      <c r="J5" s="46" t="s">
        <v>81</v>
      </c>
      <c r="K5" s="46"/>
      <c r="L5" s="46"/>
      <c r="M5" s="46"/>
      <c r="N5" s="47">
        <v>30</v>
      </c>
      <c r="O5" s="47"/>
      <c r="P5" s="47"/>
      <c r="Q5" s="46">
        <v>92.2</v>
      </c>
      <c r="R5" s="46"/>
      <c r="S5" s="46"/>
      <c r="T5" s="46">
        <v>248.3</v>
      </c>
      <c r="U5" s="46"/>
      <c r="V5" s="46"/>
      <c r="W5" s="46"/>
      <c r="X5" s="46"/>
    </row>
    <row r="6" spans="2:24" ht="21" customHeight="1">
      <c r="J6" s="48" t="s">
        <v>82</v>
      </c>
      <c r="K6" s="48"/>
      <c r="L6" s="48"/>
      <c r="M6" s="48"/>
      <c r="N6" s="49">
        <v>1</v>
      </c>
      <c r="O6" s="49"/>
      <c r="P6" s="49"/>
      <c r="Q6" s="49">
        <f>Q5/N5</f>
        <v>3.0733333333333333</v>
      </c>
      <c r="R6" s="49"/>
      <c r="S6" s="49"/>
      <c r="T6" s="49">
        <f>T5/N5</f>
        <v>8.2766666666666673</v>
      </c>
      <c r="U6" s="49"/>
      <c r="V6" s="49"/>
      <c r="W6" s="49"/>
      <c r="X6" s="49"/>
    </row>
    <row r="7" spans="2:24" ht="21" customHeight="1">
      <c r="B7" s="9" t="s">
        <v>60</v>
      </c>
      <c r="C7" s="8">
        <v>0.25</v>
      </c>
    </row>
    <row r="8" spans="2:24" ht="21" customHeight="1">
      <c r="B8" s="9" t="s">
        <v>59</v>
      </c>
      <c r="C8" s="8">
        <v>0.5</v>
      </c>
      <c r="E8" s="8">
        <f>92.15/0.25^0.5</f>
        <v>184.3</v>
      </c>
    </row>
    <row r="9" spans="2:24" ht="21" customHeight="1">
      <c r="B9" s="9" t="s">
        <v>57</v>
      </c>
      <c r="C9" s="8">
        <f>G5/(POWER(C7,C8))</f>
        <v>92.15</v>
      </c>
    </row>
    <row r="10" spans="2:24" ht="21" customHeight="1">
      <c r="B10" s="9" t="s">
        <v>58</v>
      </c>
      <c r="C10" s="8">
        <f>C9*(POWER(1,C8))</f>
        <v>92.15</v>
      </c>
    </row>
    <row r="11" spans="2:24" ht="21" customHeight="1">
      <c r="B11" s="9"/>
    </row>
    <row r="12" spans="2:24" ht="21" customHeight="1"/>
    <row r="13" spans="2:24" ht="21" customHeight="1">
      <c r="B13" s="8" t="s">
        <v>52</v>
      </c>
    </row>
    <row r="14" spans="2:24" ht="21" customHeight="1">
      <c r="B14" s="32" t="s">
        <v>46</v>
      </c>
      <c r="C14" s="32" t="s">
        <v>47</v>
      </c>
      <c r="D14" s="32" t="s">
        <v>54</v>
      </c>
      <c r="E14" s="32" t="s">
        <v>55</v>
      </c>
      <c r="F14" s="32"/>
      <c r="G14" s="32"/>
    </row>
    <row r="15" spans="2:24" ht="21" customHeight="1">
      <c r="B15" s="34"/>
      <c r="C15" s="34"/>
      <c r="D15" s="34"/>
      <c r="E15" s="40"/>
      <c r="F15" s="40"/>
      <c r="G15" s="40"/>
    </row>
    <row r="16" spans="2:24" ht="21" customHeight="1">
      <c r="B16" s="10">
        <v>42.8</v>
      </c>
      <c r="C16" s="10">
        <v>45.4</v>
      </c>
      <c r="D16" s="10">
        <f>AVERAGE(B16:C16)</f>
        <v>44.099999999999994</v>
      </c>
      <c r="E16" s="31">
        <f>SQRT(2)*D16</f>
        <v>62.366818100653489</v>
      </c>
      <c r="F16" s="31"/>
      <c r="G16" s="31"/>
    </row>
    <row r="17" spans="2:3" ht="21" customHeight="1"/>
    <row r="18" spans="2:3" ht="21" customHeight="1">
      <c r="B18" s="9" t="s">
        <v>60</v>
      </c>
      <c r="C18" s="8">
        <v>0.1</v>
      </c>
    </row>
    <row r="19" spans="2:3" ht="21" customHeight="1">
      <c r="B19" s="9" t="s">
        <v>59</v>
      </c>
      <c r="C19" s="8">
        <v>0.6</v>
      </c>
    </row>
    <row r="20" spans="2:3" ht="21" customHeight="1">
      <c r="B20" s="9" t="s">
        <v>57</v>
      </c>
      <c r="C20" s="12">
        <f>E16/(POWER(C18,C19))</f>
        <v>248.28677490475792</v>
      </c>
    </row>
    <row r="21" spans="2:3" ht="21" customHeight="1">
      <c r="B21" s="9" t="s">
        <v>58</v>
      </c>
      <c r="C21" s="12">
        <f>C20*(POWER(1,C19))</f>
        <v>248.28677490475792</v>
      </c>
    </row>
    <row r="22" spans="2:3" ht="21" customHeight="1"/>
    <row r="23" spans="2:3" ht="21" customHeight="1"/>
    <row r="24" spans="2:3" ht="21" customHeight="1"/>
    <row r="25" spans="2:3" ht="21" customHeight="1"/>
    <row r="26" spans="2:3" ht="21" customHeight="1"/>
    <row r="27" spans="2:3" ht="21" customHeight="1"/>
    <row r="28" spans="2:3" ht="21" customHeight="1"/>
    <row r="29" spans="2:3" ht="21" customHeight="1"/>
    <row r="30" spans="2:3" ht="21" customHeight="1"/>
    <row r="31" spans="2:3" ht="21" customHeight="1"/>
    <row r="32" spans="2:3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</sheetData>
  <mergeCells count="28">
    <mergeCell ref="E14:G15"/>
    <mergeCell ref="E16:G16"/>
    <mergeCell ref="G3:H4"/>
    <mergeCell ref="B14:B15"/>
    <mergeCell ref="C14:C15"/>
    <mergeCell ref="D14:D15"/>
    <mergeCell ref="G5:H5"/>
    <mergeCell ref="B3:B4"/>
    <mergeCell ref="C3:C4"/>
    <mergeCell ref="D3:D4"/>
    <mergeCell ref="E3:E4"/>
    <mergeCell ref="F3:F4"/>
    <mergeCell ref="J3:M3"/>
    <mergeCell ref="N3:P3"/>
    <mergeCell ref="Q3:S3"/>
    <mergeCell ref="T3:X3"/>
    <mergeCell ref="J4:M4"/>
    <mergeCell ref="N4:P4"/>
    <mergeCell ref="Q4:S4"/>
    <mergeCell ref="T4:X4"/>
    <mergeCell ref="J5:M5"/>
    <mergeCell ref="N5:P5"/>
    <mergeCell ref="Q5:S5"/>
    <mergeCell ref="T5:X5"/>
    <mergeCell ref="J6:M6"/>
    <mergeCell ref="N6:P6"/>
    <mergeCell ref="Q6:S6"/>
    <mergeCell ref="T6:X6"/>
  </mergeCells>
  <phoneticPr fontId="1"/>
  <pageMargins left="0.7" right="0.7" top="0.75" bottom="0.75" header="0.3" footer="0.3"/>
  <ignoredErrors>
    <ignoredError sqref="G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4F90-5FEF-4664-8851-6880BF950F39}">
  <dimension ref="A1:AO12"/>
  <sheetViews>
    <sheetView topLeftCell="A12" zoomScale="133" workbookViewId="0">
      <selection activeCell="Q16" sqref="Q16"/>
    </sheetView>
  </sheetViews>
  <sheetFormatPr defaultRowHeight="18"/>
  <sheetData>
    <row r="1" spans="1:41">
      <c r="A1" s="53" t="s">
        <v>90</v>
      </c>
      <c r="B1" s="52" t="s">
        <v>88</v>
      </c>
      <c r="C1" s="50" t="s">
        <v>89</v>
      </c>
      <c r="D1" s="50"/>
      <c r="E1" s="50"/>
      <c r="F1" s="50"/>
      <c r="G1" s="50"/>
      <c r="H1" s="50"/>
      <c r="I1" s="50"/>
      <c r="J1" s="50"/>
      <c r="K1" s="50"/>
      <c r="L1" s="50"/>
      <c r="M1" s="50" t="s">
        <v>61</v>
      </c>
    </row>
    <row r="2" spans="1:41">
      <c r="A2" s="54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41" ht="18" customHeight="1">
      <c r="A3" s="16" t="s">
        <v>83</v>
      </c>
      <c r="B3" s="16" t="s">
        <v>84</v>
      </c>
      <c r="C3" s="23" t="s">
        <v>62</v>
      </c>
      <c r="D3" s="23" t="s">
        <v>63</v>
      </c>
      <c r="E3" s="23" t="s">
        <v>64</v>
      </c>
      <c r="F3" s="23" t="s">
        <v>65</v>
      </c>
      <c r="G3" s="23" t="s">
        <v>66</v>
      </c>
      <c r="H3" s="23" t="s">
        <v>67</v>
      </c>
      <c r="I3" s="23" t="s">
        <v>68</v>
      </c>
      <c r="J3" s="23" t="s">
        <v>69</v>
      </c>
      <c r="K3" s="23" t="s">
        <v>70</v>
      </c>
      <c r="L3" s="23" t="s">
        <v>71</v>
      </c>
      <c r="M3" s="14" t="s">
        <v>87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>
      <c r="A4">
        <v>27.2</v>
      </c>
      <c r="B4" s="22">
        <f>A4*4*0.846</f>
        <v>92.044799999999995</v>
      </c>
      <c r="C4" t="s">
        <v>74</v>
      </c>
      <c r="D4" t="s">
        <v>74</v>
      </c>
      <c r="E4" t="s">
        <v>74</v>
      </c>
      <c r="F4" t="s">
        <v>74</v>
      </c>
      <c r="G4" t="s">
        <v>74</v>
      </c>
      <c r="H4" t="s">
        <v>74</v>
      </c>
      <c r="I4" t="s">
        <v>74</v>
      </c>
      <c r="J4" t="s">
        <v>74</v>
      </c>
      <c r="K4" t="s">
        <v>74</v>
      </c>
      <c r="L4" t="s">
        <v>74</v>
      </c>
      <c r="M4">
        <v>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spans="1:41">
      <c r="A5">
        <v>27.4</v>
      </c>
      <c r="B5" s="22">
        <f>A5*4*0.846</f>
        <v>92.721599999999995</v>
      </c>
      <c r="C5" t="s">
        <v>74</v>
      </c>
      <c r="D5" t="s">
        <v>74</v>
      </c>
      <c r="E5" t="s">
        <v>73</v>
      </c>
      <c r="F5" t="s">
        <v>74</v>
      </c>
      <c r="G5" t="s">
        <v>74</v>
      </c>
      <c r="H5" t="s">
        <v>73</v>
      </c>
      <c r="I5" t="s">
        <v>74</v>
      </c>
      <c r="J5" t="s">
        <v>74</v>
      </c>
      <c r="K5" t="s">
        <v>74</v>
      </c>
      <c r="L5" t="s">
        <v>73</v>
      </c>
      <c r="M5">
        <v>30</v>
      </c>
    </row>
    <row r="6" spans="1:41">
      <c r="A6" s="15">
        <v>27.6</v>
      </c>
      <c r="B6" s="24">
        <f>A6*4*0.846</f>
        <v>93.398399999999995</v>
      </c>
      <c r="C6" s="15" t="s">
        <v>73</v>
      </c>
      <c r="D6" s="25" t="s">
        <v>74</v>
      </c>
      <c r="E6" s="25" t="s">
        <v>74</v>
      </c>
      <c r="F6" s="25" t="s">
        <v>73</v>
      </c>
      <c r="G6" s="25" t="s">
        <v>73</v>
      </c>
      <c r="H6" s="25" t="s">
        <v>73</v>
      </c>
      <c r="I6" s="25" t="s">
        <v>73</v>
      </c>
      <c r="J6" s="25" t="s">
        <v>74</v>
      </c>
      <c r="K6" s="25" t="s">
        <v>74</v>
      </c>
      <c r="L6" s="25" t="s">
        <v>73</v>
      </c>
      <c r="M6" s="25">
        <v>60</v>
      </c>
      <c r="N6" s="15"/>
    </row>
    <row r="8" spans="1:41">
      <c r="B8" s="17"/>
      <c r="C8" s="17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1" t="s">
        <v>85</v>
      </c>
      <c r="AA8" s="61"/>
      <c r="AB8" s="61"/>
      <c r="AC8" s="61"/>
    </row>
    <row r="9" spans="1:41">
      <c r="B9" s="16"/>
      <c r="C9" s="16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2" t="s">
        <v>86</v>
      </c>
      <c r="AA9" s="62"/>
      <c r="AB9" s="62"/>
      <c r="AC9" s="62"/>
    </row>
    <row r="10" spans="1:41">
      <c r="B10" s="18"/>
      <c r="C10" s="1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7">
        <v>10</v>
      </c>
      <c r="AA10" s="57"/>
      <c r="AB10" s="57"/>
      <c r="AC10" s="57"/>
    </row>
    <row r="11" spans="1:41" ht="18.600000000000001">
      <c r="B11" s="18"/>
      <c r="C11" s="20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8">
        <v>30</v>
      </c>
      <c r="AA11" s="58"/>
      <c r="AB11" s="58"/>
      <c r="AC11" s="58"/>
    </row>
    <row r="12" spans="1:41" ht="18.600000000000001">
      <c r="B12" s="19"/>
      <c r="C12" s="21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>
        <v>80</v>
      </c>
      <c r="AA12" s="56"/>
      <c r="AB12" s="56"/>
      <c r="AC12" s="56"/>
    </row>
  </sheetData>
  <mergeCells count="54">
    <mergeCell ref="D8:Y8"/>
    <mergeCell ref="Z8:AC8"/>
    <mergeCell ref="Z9:AC9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V10:W10"/>
    <mergeCell ref="X10:Y10"/>
    <mergeCell ref="Z10:AC10"/>
    <mergeCell ref="R9:S9"/>
    <mergeCell ref="T9:U9"/>
    <mergeCell ref="V9:W9"/>
    <mergeCell ref="X9:Y9"/>
    <mergeCell ref="L11:M11"/>
    <mergeCell ref="N11:O11"/>
    <mergeCell ref="P10:Q10"/>
    <mergeCell ref="R10:S10"/>
    <mergeCell ref="T10:U10"/>
    <mergeCell ref="N10:O10"/>
    <mergeCell ref="R11:S11"/>
    <mergeCell ref="T11:U11"/>
    <mergeCell ref="V11:W11"/>
    <mergeCell ref="X11:Y11"/>
    <mergeCell ref="Z11:AC11"/>
    <mergeCell ref="R12:S12"/>
    <mergeCell ref="T12:U12"/>
    <mergeCell ref="V12:W12"/>
    <mergeCell ref="X12:Y12"/>
    <mergeCell ref="Z12:AC12"/>
    <mergeCell ref="M1:M2"/>
    <mergeCell ref="B1:B2"/>
    <mergeCell ref="C1:L2"/>
    <mergeCell ref="A1:A2"/>
    <mergeCell ref="P12:Q12"/>
    <mergeCell ref="D12:E12"/>
    <mergeCell ref="F12:G12"/>
    <mergeCell ref="H12:I12"/>
    <mergeCell ref="J12:K12"/>
    <mergeCell ref="L12:M12"/>
    <mergeCell ref="N12:O12"/>
    <mergeCell ref="P11:Q11"/>
    <mergeCell ref="D11:E11"/>
    <mergeCell ref="F11:G11"/>
    <mergeCell ref="H11:I11"/>
    <mergeCell ref="J11:K11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0A0E82095ED8D4880C95665613CC7BD" ma:contentTypeVersion="3" ma:contentTypeDescription="新しいドキュメントを作成します。" ma:contentTypeScope="" ma:versionID="29c76571537b318039b5149133ddd6be">
  <xsd:schema xmlns:xsd="http://www.w3.org/2001/XMLSchema" xmlns:xs="http://www.w3.org/2001/XMLSchema" xmlns:p="http://schemas.microsoft.com/office/2006/metadata/properties" xmlns:ns2="cb39158f-6bed-4fc9-9c03-7cb9439f12cb" targetNamespace="http://schemas.microsoft.com/office/2006/metadata/properties" ma:root="true" ma:fieldsID="d650d89b6fd2c83ec925596eeca589c4" ns2:_="">
    <xsd:import namespace="cb39158f-6bed-4fc9-9c03-7cb9439f1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9158f-6bed-4fc9-9c03-7cb9439f1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9F0BB5-00F2-4A65-8FEF-39DC50536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9158f-6bed-4fc9-9c03-7cb9439f1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D033DD-A763-49D9-847B-874340A96C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907D10-2B95-4AB5-B802-C1AB411B8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使用機器</vt:lpstr>
      <vt:lpstr>気中火花</vt:lpstr>
      <vt:lpstr>液体個体</vt:lpstr>
      <vt:lpstr>碍子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中澤 耕平_長野</cp:lastModifiedBy>
  <dcterms:created xsi:type="dcterms:W3CDTF">2015-06-05T18:19:34Z</dcterms:created>
  <dcterms:modified xsi:type="dcterms:W3CDTF">2025-10-24T05:20:37Z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0x010100F0A0E82095ED8D4880C95665613CC7BD</vt:lpwstr>
  </property>
</Properties>
</file>