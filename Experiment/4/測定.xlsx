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o\TeX-Folder\Experiment\4\"/>
    </mc:Choice>
  </mc:AlternateContent>
  <xr:revisionPtr revIDLastSave="0" documentId="13_ncr:9_{B7069CA2-FFD5-432B-9724-90FFF1ACB6A0}" xr6:coauthVersionLast="47" xr6:coauthVersionMax="47" xr10:uidLastSave="{00000000-0000-0000-0000-000000000000}"/>
  <bookViews>
    <workbookView xWindow="-110" yWindow="-110" windowWidth="29020" windowHeight="17500" xr2:uid="{29F7D881-C340-4110-805F-4D4332B7E1F0}"/>
  </bookViews>
  <sheets>
    <sheet name="2" sheetId="1" r:id="rId1"/>
  </sheets>
  <calcPr calcId="0"/>
</workbook>
</file>

<file path=xl/calcChain.xml><?xml version="1.0" encoding="utf-8"?>
<calcChain xmlns="http://schemas.openxmlformats.org/spreadsheetml/2006/main">
  <c r="J9" i="1" l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E25" i="1"/>
  <c r="F25" i="1"/>
  <c r="E24" i="1"/>
  <c r="F24" i="1"/>
  <c r="E23" i="1"/>
  <c r="F23" i="1"/>
  <c r="E22" i="1"/>
  <c r="F22" i="1" s="1"/>
  <c r="E21" i="1"/>
  <c r="F21" i="1"/>
  <c r="E20" i="1"/>
  <c r="F20" i="1"/>
  <c r="E19" i="1"/>
  <c r="F19" i="1"/>
  <c r="E18" i="1"/>
  <c r="F18" i="1" s="1"/>
  <c r="E17" i="1"/>
  <c r="F17" i="1"/>
  <c r="H6" i="1"/>
  <c r="H8" i="1"/>
  <c r="H9" i="1"/>
  <c r="E16" i="1"/>
  <c r="F16" i="1"/>
  <c r="F6" i="1"/>
  <c r="F7" i="1"/>
  <c r="F8" i="1"/>
  <c r="F9" i="1"/>
  <c r="F10" i="1"/>
  <c r="F11" i="1"/>
  <c r="F12" i="1"/>
  <c r="F13" i="1"/>
  <c r="F14" i="1"/>
  <c r="F15" i="1"/>
  <c r="F4" i="1"/>
  <c r="E5" i="1"/>
  <c r="F5" i="1" s="1"/>
  <c r="E6" i="1"/>
  <c r="E7" i="1"/>
  <c r="E8" i="1"/>
  <c r="E9" i="1"/>
  <c r="I9" i="1" s="1"/>
  <c r="E10" i="1"/>
  <c r="E11" i="1"/>
  <c r="E12" i="1"/>
  <c r="E13" i="1"/>
  <c r="E14" i="1"/>
  <c r="E15" i="1"/>
  <c r="E4" i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6" i="1"/>
  <c r="G9" i="1"/>
  <c r="G8" i="1"/>
  <c r="G7" i="1"/>
  <c r="H7" i="1" s="1"/>
  <c r="G5" i="1"/>
  <c r="H5" i="1" s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G4" i="1"/>
  <c r="H4" i="1" s="1"/>
  <c r="B4" i="1"/>
</calcChain>
</file>

<file path=xl/sharedStrings.xml><?xml version="1.0" encoding="utf-8"?>
<sst xmlns="http://schemas.openxmlformats.org/spreadsheetml/2006/main" count="23" uniqueCount="14">
  <si>
    <t>周波数 f [Hz]</t>
  </si>
  <si>
    <t>角周波数 ω [rad/s]</t>
  </si>
  <si>
    <t>入力電圧 Vi [V] (p-p 値)</t>
  </si>
  <si>
    <t>出力電圧 Vo [V] (p-p 値)</t>
  </si>
  <si>
    <t>電圧比 Vo/ Vi</t>
  </si>
  <si>
    <t>ゲイン G[dB] 20log(Vo/ Vi)</t>
  </si>
  <si>
    <t>遅れ時間 t [sec]</t>
  </si>
  <si>
    <t>位相 θ [°]</t>
  </si>
  <si>
    <t>変化させる 100～7k</t>
  </si>
  <si>
    <t>計算する</t>
  </si>
  <si>
    <t>1.5V 程度に合わせる</t>
  </si>
  <si>
    <t>測定する</t>
  </si>
  <si>
    <t>例 99.6</t>
  </si>
  <si>
    <t>0.11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</si>
</sst>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2" formatCode="0.000000000"/>
    <numFmt numFmtId="187" formatCode="0.00000000000"/>
    <numFmt numFmtId="188" formatCode="0.00000000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82" fontId="0" fillId="0" borderId="0" xfId="0" applyNumberFormat="1">
      <alignment vertical="center"/>
    </xf>
    <xf numFmtId="0" fontId="0" fillId="33" borderId="0" xfId="0" applyFill="1">
      <alignment vertical="center"/>
    </xf>
    <xf numFmtId="182" fontId="0" fillId="33" borderId="0" xfId="0" applyNumberFormat="1" applyFill="1">
      <alignment vertical="center"/>
    </xf>
    <xf numFmtId="187" fontId="0" fillId="33" borderId="0" xfId="0" applyNumberFormat="1" applyFill="1">
      <alignment vertical="center"/>
    </xf>
    <xf numFmtId="188" fontId="0" fillId="33" borderId="0" xfId="0" applyNumberForma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'2'!$A$4:$A$25</c:f>
              <c:numCache>
                <c:formatCode>General</c:formatCode>
                <c:ptCount val="22"/>
                <c:pt idx="0">
                  <c:v>103.7</c:v>
                </c:pt>
                <c:pt idx="1">
                  <c:v>151.69999999999999</c:v>
                </c:pt>
                <c:pt idx="2">
                  <c:v>201.7</c:v>
                </c:pt>
                <c:pt idx="3">
                  <c:v>303.39999999999998</c:v>
                </c:pt>
                <c:pt idx="4">
                  <c:v>499.7</c:v>
                </c:pt>
                <c:pt idx="5">
                  <c:v>707.3</c:v>
                </c:pt>
                <c:pt idx="6">
                  <c:v>1013</c:v>
                </c:pt>
                <c:pt idx="7">
                  <c:v>1559</c:v>
                </c:pt>
                <c:pt idx="8">
                  <c:v>2040</c:v>
                </c:pt>
                <c:pt idx="9">
                  <c:v>3050</c:v>
                </c:pt>
                <c:pt idx="10">
                  <c:v>5001</c:v>
                </c:pt>
                <c:pt idx="11">
                  <c:v>6936</c:v>
                </c:pt>
                <c:pt idx="12">
                  <c:v>650</c:v>
                </c:pt>
                <c:pt idx="13">
                  <c:v>746</c:v>
                </c:pt>
                <c:pt idx="14">
                  <c:v>677</c:v>
                </c:pt>
                <c:pt idx="15">
                  <c:v>720</c:v>
                </c:pt>
                <c:pt idx="16">
                  <c:v>400</c:v>
                </c:pt>
                <c:pt idx="17">
                  <c:v>900</c:v>
                </c:pt>
                <c:pt idx="18">
                  <c:v>1120</c:v>
                </c:pt>
                <c:pt idx="19">
                  <c:v>1200</c:v>
                </c:pt>
                <c:pt idx="20">
                  <c:v>600</c:v>
                </c:pt>
                <c:pt idx="21">
                  <c:v>800</c:v>
                </c:pt>
              </c:numCache>
            </c:numRef>
          </c:xVal>
          <c:yVal>
            <c:numRef>
              <c:f>'2'!$F$4:$F$25</c:f>
              <c:numCache>
                <c:formatCode>General</c:formatCode>
                <c:ptCount val="22"/>
                <c:pt idx="0">
                  <c:v>0.11504657778182684</c:v>
                </c:pt>
                <c:pt idx="1">
                  <c:v>0.21186146994848215</c:v>
                </c:pt>
                <c:pt idx="2">
                  <c:v>0.56057447200487065</c:v>
                </c:pt>
                <c:pt idx="3">
                  <c:v>1.188743757037354</c:v>
                </c:pt>
                <c:pt idx="4">
                  <c:v>3.3317543662187568</c:v>
                </c:pt>
                <c:pt idx="5">
                  <c:v>5.904009040065147</c:v>
                </c:pt>
                <c:pt idx="6">
                  <c:v>0.11504657778182684</c:v>
                </c:pt>
                <c:pt idx="7">
                  <c:v>-9.89700043360188</c:v>
                </c:pt>
                <c:pt idx="8">
                  <c:v>-15.222358221697265</c:v>
                </c:pt>
                <c:pt idx="9">
                  <c:v>-21.794628567618659</c:v>
                </c:pt>
                <c:pt idx="10">
                  <c:v>-25.679933127304015</c:v>
                </c:pt>
                <c:pt idx="11">
                  <c:v>-31.056839373155615</c:v>
                </c:pt>
                <c:pt idx="12">
                  <c:v>5.359070737247901</c:v>
                </c:pt>
                <c:pt idx="13">
                  <c:v>5.1695528995703501</c:v>
                </c:pt>
                <c:pt idx="14">
                  <c:v>5.4213354457307581</c:v>
                </c:pt>
                <c:pt idx="15">
                  <c:v>5.2963564601907285</c:v>
                </c:pt>
                <c:pt idx="16">
                  <c:v>2.0474581741911706</c:v>
                </c:pt>
                <c:pt idx="17">
                  <c:v>1.6019302799681265</c:v>
                </c:pt>
                <c:pt idx="18">
                  <c:v>-3.5218251811136252</c:v>
                </c:pt>
                <c:pt idx="19">
                  <c:v>-4.7776417783027352</c:v>
                </c:pt>
                <c:pt idx="20">
                  <c:v>4.2083857567114906</c:v>
                </c:pt>
                <c:pt idx="21">
                  <c:v>3.560343601834393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5-45DA-AA2C-3D66214B8B2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452189472"/>
        <c:axId val="1452190912"/>
      </c:scatterChart>
      <c:valAx>
        <c:axId val="1452189472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2190912"/>
        <c:crosses val="autoZero"/>
        <c:crossBetween val="midCat"/>
      </c:valAx>
      <c:valAx>
        <c:axId val="145219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5218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'2'!$A$4:$A$22</c:f>
              <c:numCache>
                <c:formatCode>General</c:formatCode>
                <c:ptCount val="19"/>
                <c:pt idx="0">
                  <c:v>103.7</c:v>
                </c:pt>
                <c:pt idx="1">
                  <c:v>151.69999999999999</c:v>
                </c:pt>
                <c:pt idx="2">
                  <c:v>201.7</c:v>
                </c:pt>
                <c:pt idx="3">
                  <c:v>303.39999999999998</c:v>
                </c:pt>
                <c:pt idx="4">
                  <c:v>499.7</c:v>
                </c:pt>
                <c:pt idx="5">
                  <c:v>707.3</c:v>
                </c:pt>
                <c:pt idx="6">
                  <c:v>1013</c:v>
                </c:pt>
                <c:pt idx="7">
                  <c:v>1559</c:v>
                </c:pt>
                <c:pt idx="8">
                  <c:v>2040</c:v>
                </c:pt>
                <c:pt idx="9">
                  <c:v>3050</c:v>
                </c:pt>
                <c:pt idx="10">
                  <c:v>5001</c:v>
                </c:pt>
                <c:pt idx="11">
                  <c:v>6936</c:v>
                </c:pt>
                <c:pt idx="12">
                  <c:v>650</c:v>
                </c:pt>
                <c:pt idx="13">
                  <c:v>746</c:v>
                </c:pt>
                <c:pt idx="14">
                  <c:v>677</c:v>
                </c:pt>
                <c:pt idx="15">
                  <c:v>720</c:v>
                </c:pt>
                <c:pt idx="16">
                  <c:v>400</c:v>
                </c:pt>
                <c:pt idx="17">
                  <c:v>900</c:v>
                </c:pt>
                <c:pt idx="18">
                  <c:v>1120</c:v>
                </c:pt>
              </c:numCache>
            </c:numRef>
          </c:xVal>
          <c:yVal>
            <c:numRef>
              <c:f>'2'!$H$4:$H$21</c:f>
              <c:numCache>
                <c:formatCode>General</c:formatCode>
                <c:ptCount val="18"/>
                <c:pt idx="0">
                  <c:v>-0.37331999999999999</c:v>
                </c:pt>
                <c:pt idx="1">
                  <c:v>-3.2767199999999992</c:v>
                </c:pt>
                <c:pt idx="2">
                  <c:v>-7.2611999999999988</c:v>
                </c:pt>
                <c:pt idx="3">
                  <c:v>-11.359295999999999</c:v>
                </c:pt>
                <c:pt idx="4">
                  <c:v>-25.904448000000002</c:v>
                </c:pt>
                <c:pt idx="5">
                  <c:v>-68.240304000000009</c:v>
                </c:pt>
                <c:pt idx="6">
                  <c:v>-132.74352000000002</c:v>
                </c:pt>
                <c:pt idx="7">
                  <c:v>-154.90224000000003</c:v>
                </c:pt>
                <c:pt idx="8">
                  <c:v>-155.69280000000001</c:v>
                </c:pt>
                <c:pt idx="9">
                  <c:v>-151.52400000000003</c:v>
                </c:pt>
                <c:pt idx="10">
                  <c:v>-126.02519999999998</c:v>
                </c:pt>
                <c:pt idx="11">
                  <c:v>-114.86015999999999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76-470F-B0A5-0F34E06B2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69904"/>
        <c:axId val="1217167024"/>
      </c:scatterChart>
      <c:valAx>
        <c:axId val="1217169904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7167024"/>
        <c:crosses val="autoZero"/>
        <c:crossBetween val="midCat"/>
      </c:valAx>
      <c:valAx>
        <c:axId val="121716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716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282575</xdr:colOff>
      <xdr:row>31</xdr:row>
      <xdr:rowOff>38193</xdr:rowOff>
    </xdr:from>
    <xdr:to>
      <xdr:col>12</xdr:col>
      <xdr:colOff>238125</xdr:colOff>
      <xdr:row>43</xdr:row>
      <xdr:rowOff>38192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2A13776-C4E7-832B-0671-35F118023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462825</xdr:colOff>
      <xdr:row>31</xdr:row>
      <xdr:rowOff>144495</xdr:rowOff>
    </xdr:from>
    <xdr:to>
      <xdr:col>19</xdr:col>
      <xdr:colOff>412025</xdr:colOff>
      <xdr:row>43</xdr:row>
      <xdr:rowOff>144495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1698FC3-AE52-98F7-5D2B-94D22E68C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6A41-541F-4EBB-BC3F-AABF2E4720F8}">
  <dimension ref="A1:M131"/>
  <sheetViews>
    <sheetView tabSelected="1" topLeftCell="B2" zoomScale="81" zoomScaleNormal="209" workbookViewId="0">
      <selection activeCell="J9" activeCellId="1" sqref="I9 J9"/>
    </sheetView>
  </sheetViews>
  <sheetFormatPr defaultRowHeight="18" x14ac:dyDescent="0.55000000000000004"/>
  <cols>
    <col min="1" max="1" width="18.25" bestFit="1" customWidth="1"/>
    <col min="2" max="2" width="18" bestFit="1" customWidth="1"/>
    <col min="3" max="3" width="22" bestFit="1" customWidth="1"/>
    <col min="4" max="4" width="22.4140625" bestFit="1" customWidth="1"/>
    <col min="5" max="5" width="12.5" bestFit="1" customWidth="1"/>
    <col min="6" max="6" width="24.9140625" bestFit="1" customWidth="1"/>
    <col min="7" max="7" width="14.83203125" bestFit="1" customWidth="1"/>
    <col min="8" max="8" width="11.08203125" bestFit="1" customWidth="1"/>
    <col min="9" max="9" width="15.75" bestFit="1" customWidth="1"/>
    <col min="10" max="10" width="25.83203125" bestFit="1" customWidth="1"/>
  </cols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L1" t="s">
        <v>0</v>
      </c>
      <c r="M1" t="s">
        <v>5</v>
      </c>
    </row>
    <row r="2" spans="1:13" x14ac:dyDescent="0.55000000000000004">
      <c r="A2" t="s">
        <v>8</v>
      </c>
      <c r="B2" t="s">
        <v>9</v>
      </c>
      <c r="C2" t="s">
        <v>10</v>
      </c>
      <c r="D2" t="s">
        <v>11</v>
      </c>
      <c r="E2" t="s">
        <v>9</v>
      </c>
      <c r="F2" t="s">
        <v>9</v>
      </c>
      <c r="G2" t="s">
        <v>11</v>
      </c>
      <c r="H2" t="s">
        <v>9</v>
      </c>
      <c r="L2" t="s">
        <v>8</v>
      </c>
      <c r="M2" t="s">
        <v>9</v>
      </c>
    </row>
    <row r="3" spans="1:13" x14ac:dyDescent="0.55000000000000004">
      <c r="A3" t="s">
        <v>12</v>
      </c>
      <c r="B3">
        <v>625.80999999999995</v>
      </c>
      <c r="C3">
        <v>1.304</v>
      </c>
      <c r="D3">
        <v>1.304</v>
      </c>
      <c r="E3">
        <v>1</v>
      </c>
      <c r="F3">
        <v>0</v>
      </c>
      <c r="G3" t="s">
        <v>13</v>
      </c>
      <c r="H3">
        <v>-3.94</v>
      </c>
      <c r="L3" t="s">
        <v>12</v>
      </c>
      <c r="M3">
        <v>0</v>
      </c>
    </row>
    <row r="4" spans="1:13" x14ac:dyDescent="0.55000000000000004">
      <c r="A4">
        <v>103.7</v>
      </c>
      <c r="B4">
        <f>A4*2*PI()</f>
        <v>651.56631635452311</v>
      </c>
      <c r="C4">
        <v>1.5</v>
      </c>
      <c r="D4">
        <v>1.52</v>
      </c>
      <c r="E4">
        <f>D4/C4</f>
        <v>1.0133333333333334</v>
      </c>
      <c r="F4">
        <f>20*LOG10(E4)</f>
        <v>0.11504657778182684</v>
      </c>
      <c r="G4" s="1">
        <f>10*10^(-6)</f>
        <v>9.9999999999999991E-6</v>
      </c>
      <c r="H4">
        <f>-360*G4*A4</f>
        <v>-0.37331999999999999</v>
      </c>
      <c r="L4">
        <v>103.7</v>
      </c>
      <c r="M4">
        <f>20*LOG10(L4)</f>
        <v>40.315575127780818</v>
      </c>
    </row>
    <row r="5" spans="1:13" x14ac:dyDescent="0.55000000000000004">
      <c r="A5">
        <v>151.69999999999999</v>
      </c>
      <c r="B5">
        <f t="shared" ref="B5:B68" si="0">A5*2*PI()</f>
        <v>953.15921109914314</v>
      </c>
      <c r="C5">
        <v>1.62</v>
      </c>
      <c r="D5">
        <v>1.66</v>
      </c>
      <c r="E5">
        <f t="shared" ref="E5:E25" si="1">D5/C5</f>
        <v>1.0246913580246912</v>
      </c>
      <c r="F5">
        <f t="shared" ref="F5:F31" si="2">20*LOG10(E5)</f>
        <v>0.21186146994848215</v>
      </c>
      <c r="G5" s="1">
        <f>60*10^(-6)</f>
        <v>5.9999999999999995E-5</v>
      </c>
      <c r="H5">
        <f t="shared" ref="H5:H15" si="3">-360*G5*A5</f>
        <v>-3.2767199999999992</v>
      </c>
      <c r="L5">
        <v>151.69999999999999</v>
      </c>
      <c r="M5">
        <f t="shared" ref="M5:M25" si="4">20*LOG10(L5)</f>
        <v>43.619711615734609</v>
      </c>
    </row>
    <row r="6" spans="1:13" x14ac:dyDescent="0.55000000000000004">
      <c r="A6">
        <v>201.7</v>
      </c>
      <c r="B6">
        <f t="shared" si="0"/>
        <v>1267.3184764581224</v>
      </c>
      <c r="C6">
        <v>1.5</v>
      </c>
      <c r="D6">
        <v>1.6</v>
      </c>
      <c r="E6">
        <f t="shared" si="1"/>
        <v>1.0666666666666667</v>
      </c>
      <c r="F6">
        <f t="shared" si="2"/>
        <v>0.56057447200487065</v>
      </c>
      <c r="G6" s="1">
        <f>100*10^(-6)</f>
        <v>9.9999999999999991E-5</v>
      </c>
      <c r="H6">
        <f t="shared" si="3"/>
        <v>-7.2611999999999988</v>
      </c>
      <c r="L6">
        <v>201.7</v>
      </c>
      <c r="M6">
        <f t="shared" si="4"/>
        <v>46.094117964255304</v>
      </c>
    </row>
    <row r="7" spans="1:13" x14ac:dyDescent="0.55000000000000004">
      <c r="A7">
        <v>303.39999999999998</v>
      </c>
      <c r="B7">
        <f t="shared" si="0"/>
        <v>1906.3184221982863</v>
      </c>
      <c r="C7">
        <v>1.5</v>
      </c>
      <c r="D7">
        <v>1.72</v>
      </c>
      <c r="E7">
        <f t="shared" si="1"/>
        <v>1.1466666666666667</v>
      </c>
      <c r="F7">
        <f t="shared" si="2"/>
        <v>1.188743757037354</v>
      </c>
      <c r="G7" s="1">
        <f>0.104*10^-3</f>
        <v>1.0399999999999999E-4</v>
      </c>
      <c r="H7">
        <f t="shared" si="3"/>
        <v>-11.359295999999999</v>
      </c>
      <c r="L7">
        <v>303.39999999999998</v>
      </c>
      <c r="M7">
        <f t="shared" si="4"/>
        <v>49.640311529014234</v>
      </c>
    </row>
    <row r="8" spans="1:13" x14ac:dyDescent="0.55000000000000004">
      <c r="A8">
        <v>499.7</v>
      </c>
      <c r="B8">
        <f t="shared" si="0"/>
        <v>3139.7076979976391</v>
      </c>
      <c r="C8">
        <v>1.54</v>
      </c>
      <c r="D8">
        <v>2.2599999999999998</v>
      </c>
      <c r="E8">
        <f t="shared" si="1"/>
        <v>1.4675324675324675</v>
      </c>
      <c r="F8">
        <f t="shared" si="2"/>
        <v>3.3317543662187568</v>
      </c>
      <c r="G8" s="1">
        <f>0.144*10^-3</f>
        <v>1.44E-4</v>
      </c>
      <c r="H8">
        <f t="shared" si="3"/>
        <v>-25.904448000000002</v>
      </c>
      <c r="L8">
        <v>499.7</v>
      </c>
      <c r="M8">
        <f t="shared" si="4"/>
        <v>53.974186988851741</v>
      </c>
    </row>
    <row r="9" spans="1:13" s="2" customFormat="1" x14ac:dyDescent="0.55000000000000004">
      <c r="A9" s="2">
        <v>707.3</v>
      </c>
      <c r="B9" s="2">
        <f t="shared" si="0"/>
        <v>4444.0969677681214</v>
      </c>
      <c r="C9" s="2">
        <v>1.5</v>
      </c>
      <c r="D9" s="2">
        <v>2.96</v>
      </c>
      <c r="E9" s="2">
        <f t="shared" si="1"/>
        <v>1.9733333333333334</v>
      </c>
      <c r="F9" s="2">
        <f t="shared" si="2"/>
        <v>5.904009040065147</v>
      </c>
      <c r="G9" s="3">
        <f>0.268*10^(-3)</f>
        <v>2.6800000000000001E-4</v>
      </c>
      <c r="H9" s="2">
        <f t="shared" si="3"/>
        <v>-68.240304000000009</v>
      </c>
      <c r="I9" s="5">
        <f>SQRT(1/2*(1-SQRT(1-1/(E9^2))))</f>
        <v>0.26259371239326129</v>
      </c>
      <c r="J9" s="4">
        <f>B9/(SQRT(1-2*$I$9^2))</f>
        <v>4786.383066251231</v>
      </c>
      <c r="L9" s="2">
        <v>707.3</v>
      </c>
      <c r="M9" s="2">
        <f t="shared" si="4"/>
        <v>56.992073161648939</v>
      </c>
    </row>
    <row r="10" spans="1:13" x14ac:dyDescent="0.55000000000000004">
      <c r="A10">
        <v>1013</v>
      </c>
      <c r="B10">
        <f t="shared" si="0"/>
        <v>6364.8667161729209</v>
      </c>
      <c r="C10">
        <v>1.5</v>
      </c>
      <c r="D10">
        <v>1.52</v>
      </c>
      <c r="E10">
        <f t="shared" si="1"/>
        <v>1.0133333333333334</v>
      </c>
      <c r="F10">
        <f t="shared" si="2"/>
        <v>0.11504657778182684</v>
      </c>
      <c r="G10" s="1">
        <f>0.364*10^(-3)</f>
        <v>3.6400000000000001E-4</v>
      </c>
      <c r="H10">
        <f t="shared" si="3"/>
        <v>-132.74352000000002</v>
      </c>
      <c r="L10">
        <v>1013</v>
      </c>
      <c r="M10">
        <f t="shared" si="4"/>
        <v>60.112188907205606</v>
      </c>
    </row>
    <row r="11" spans="1:13" x14ac:dyDescent="0.55000000000000004">
      <c r="A11">
        <v>1559</v>
      </c>
      <c r="B11">
        <f t="shared" si="0"/>
        <v>9795.4858938929756</v>
      </c>
      <c r="C11">
        <v>1.6</v>
      </c>
      <c r="D11">
        <v>0.51200000000000001</v>
      </c>
      <c r="E11">
        <f t="shared" si="1"/>
        <v>0.32</v>
      </c>
      <c r="F11">
        <f t="shared" si="2"/>
        <v>-9.89700043360188</v>
      </c>
      <c r="G11" s="1">
        <f>0.276*10^(-3)</f>
        <v>2.7600000000000004E-4</v>
      </c>
      <c r="H11">
        <f t="shared" si="3"/>
        <v>-154.90224000000003</v>
      </c>
      <c r="L11">
        <v>1559</v>
      </c>
      <c r="M11">
        <f t="shared" si="4"/>
        <v>63.856922303776841</v>
      </c>
    </row>
    <row r="12" spans="1:13" x14ac:dyDescent="0.55000000000000004">
      <c r="A12">
        <v>2040</v>
      </c>
      <c r="B12">
        <f t="shared" si="0"/>
        <v>12817.698026646356</v>
      </c>
      <c r="C12">
        <v>1.5</v>
      </c>
      <c r="D12">
        <v>0.26</v>
      </c>
      <c r="E12">
        <f t="shared" si="1"/>
        <v>0.17333333333333334</v>
      </c>
      <c r="F12">
        <f t="shared" si="2"/>
        <v>-15.222358221697265</v>
      </c>
      <c r="G12" s="1">
        <f>0.212*10^(-3)</f>
        <v>2.12E-4</v>
      </c>
      <c r="H12">
        <f t="shared" si="3"/>
        <v>-155.69280000000001</v>
      </c>
      <c r="L12">
        <v>2040</v>
      </c>
      <c r="M12">
        <f t="shared" si="4"/>
        <v>66.192603348517977</v>
      </c>
    </row>
    <row r="13" spans="1:13" x14ac:dyDescent="0.55000000000000004">
      <c r="A13">
        <v>3050</v>
      </c>
      <c r="B13">
        <f t="shared" si="0"/>
        <v>19163.715186897738</v>
      </c>
      <c r="C13">
        <v>1.5</v>
      </c>
      <c r="D13">
        <v>0.122</v>
      </c>
      <c r="E13">
        <f t="shared" si="1"/>
        <v>8.1333333333333327E-2</v>
      </c>
      <c r="F13">
        <f t="shared" si="2"/>
        <v>-21.794628567618659</v>
      </c>
      <c r="G13" s="1">
        <f>0.138*10^(-3)</f>
        <v>1.3800000000000002E-4</v>
      </c>
      <c r="H13">
        <f t="shared" si="3"/>
        <v>-151.52400000000003</v>
      </c>
      <c r="L13">
        <v>3050</v>
      </c>
      <c r="M13">
        <f t="shared" si="4"/>
        <v>69.685996786935718</v>
      </c>
    </row>
    <row r="14" spans="1:13" x14ac:dyDescent="0.55000000000000004">
      <c r="A14">
        <v>5001</v>
      </c>
      <c r="B14">
        <f t="shared" si="0"/>
        <v>31422.209721205112</v>
      </c>
      <c r="C14">
        <v>1.5</v>
      </c>
      <c r="D14">
        <v>7.8E-2</v>
      </c>
      <c r="E14">
        <f t="shared" si="1"/>
        <v>5.1999999999999998E-2</v>
      </c>
      <c r="F14">
        <f t="shared" si="2"/>
        <v>-25.679933127304015</v>
      </c>
      <c r="G14" s="1">
        <f>70*10^(-6)</f>
        <v>6.9999999999999994E-5</v>
      </c>
      <c r="H14">
        <f t="shared" si="3"/>
        <v>-126.02519999999998</v>
      </c>
      <c r="L14">
        <v>5001</v>
      </c>
      <c r="M14">
        <f t="shared" si="4"/>
        <v>73.981137090953354</v>
      </c>
    </row>
    <row r="15" spans="1:13" x14ac:dyDescent="0.55000000000000004">
      <c r="A15">
        <v>6936</v>
      </c>
      <c r="B15">
        <f t="shared" si="0"/>
        <v>43580.17329059761</v>
      </c>
      <c r="C15">
        <v>1.5</v>
      </c>
      <c r="D15">
        <v>4.2000000000000003E-2</v>
      </c>
      <c r="E15">
        <f t="shared" si="1"/>
        <v>2.8000000000000001E-2</v>
      </c>
      <c r="F15">
        <f t="shared" si="2"/>
        <v>-31.056839373155615</v>
      </c>
      <c r="G15" s="1">
        <f>46*10^(-6)</f>
        <v>4.6E-5</v>
      </c>
      <c r="H15">
        <f t="shared" si="3"/>
        <v>-114.86015999999999</v>
      </c>
      <c r="L15">
        <v>6936</v>
      </c>
      <c r="M15">
        <f t="shared" si="4"/>
        <v>76.822181689363077</v>
      </c>
    </row>
    <row r="16" spans="1:13" x14ac:dyDescent="0.55000000000000004">
      <c r="A16">
        <v>650</v>
      </c>
      <c r="B16">
        <f t="shared" si="0"/>
        <v>4084.0704496667308</v>
      </c>
      <c r="C16">
        <v>1.5</v>
      </c>
      <c r="D16">
        <v>2.78</v>
      </c>
      <c r="E16">
        <f t="shared" si="1"/>
        <v>1.8533333333333333</v>
      </c>
      <c r="F16">
        <f t="shared" si="2"/>
        <v>5.359070737247901</v>
      </c>
      <c r="G16" s="1"/>
      <c r="L16">
        <v>650</v>
      </c>
      <c r="M16">
        <f t="shared" si="4"/>
        <v>56.258267132857114</v>
      </c>
    </row>
    <row r="17" spans="1:13" x14ac:dyDescent="0.55000000000000004">
      <c r="A17">
        <v>746</v>
      </c>
      <c r="B17">
        <f t="shared" si="0"/>
        <v>4687.2562391559713</v>
      </c>
      <c r="C17">
        <v>1.5</v>
      </c>
      <c r="D17">
        <v>2.72</v>
      </c>
      <c r="E17">
        <f t="shared" si="1"/>
        <v>1.8133333333333335</v>
      </c>
      <c r="F17">
        <f t="shared" si="2"/>
        <v>5.1695528995703501</v>
      </c>
      <c r="G17" s="1"/>
      <c r="L17">
        <v>746</v>
      </c>
      <c r="M17">
        <f t="shared" si="4"/>
        <v>57.454776549453371</v>
      </c>
    </row>
    <row r="18" spans="1:13" x14ac:dyDescent="0.55000000000000004">
      <c r="A18">
        <v>677</v>
      </c>
      <c r="B18">
        <f t="shared" si="0"/>
        <v>4253.7164529605798</v>
      </c>
      <c r="C18">
        <v>1.5</v>
      </c>
      <c r="D18">
        <v>2.8</v>
      </c>
      <c r="E18">
        <f t="shared" si="1"/>
        <v>1.8666666666666665</v>
      </c>
      <c r="F18">
        <f t="shared" si="2"/>
        <v>5.4213354457307581</v>
      </c>
      <c r="G18" s="1"/>
      <c r="L18">
        <v>677</v>
      </c>
      <c r="M18">
        <f t="shared" si="4"/>
        <v>56.611773373702889</v>
      </c>
    </row>
    <row r="19" spans="1:13" x14ac:dyDescent="0.55000000000000004">
      <c r="A19">
        <v>720</v>
      </c>
      <c r="B19">
        <f t="shared" si="0"/>
        <v>4523.8934211693022</v>
      </c>
      <c r="C19">
        <v>1.5</v>
      </c>
      <c r="D19">
        <v>2.76</v>
      </c>
      <c r="E19">
        <f t="shared" si="1"/>
        <v>1.8399999999999999</v>
      </c>
      <c r="F19">
        <f t="shared" si="2"/>
        <v>5.2963564601907285</v>
      </c>
      <c r="G19" s="1"/>
      <c r="L19">
        <v>720</v>
      </c>
      <c r="M19">
        <f t="shared" si="4"/>
        <v>57.146649928625372</v>
      </c>
    </row>
    <row r="20" spans="1:13" x14ac:dyDescent="0.55000000000000004">
      <c r="A20">
        <v>400</v>
      </c>
      <c r="B20">
        <f t="shared" si="0"/>
        <v>2513.2741228718346</v>
      </c>
      <c r="C20">
        <v>1.58</v>
      </c>
      <c r="D20">
        <v>2</v>
      </c>
      <c r="E20">
        <f t="shared" si="1"/>
        <v>1.2658227848101264</v>
      </c>
      <c r="F20">
        <f t="shared" si="2"/>
        <v>2.0474581741911706</v>
      </c>
      <c r="G20" s="1"/>
      <c r="L20">
        <v>400</v>
      </c>
      <c r="M20">
        <f t="shared" si="4"/>
        <v>52.04119982655925</v>
      </c>
    </row>
    <row r="21" spans="1:13" x14ac:dyDescent="0.55000000000000004">
      <c r="A21">
        <v>900</v>
      </c>
      <c r="B21">
        <f t="shared" si="0"/>
        <v>5654.8667764616275</v>
      </c>
      <c r="C21">
        <v>1.58</v>
      </c>
      <c r="D21">
        <v>1.9</v>
      </c>
      <c r="E21">
        <f t="shared" si="1"/>
        <v>1.2025316455696202</v>
      </c>
      <c r="F21">
        <f t="shared" si="2"/>
        <v>1.6019302799681265</v>
      </c>
      <c r="G21" s="1"/>
      <c r="L21">
        <v>900</v>
      </c>
      <c r="M21">
        <f t="shared" si="4"/>
        <v>59.084850188786497</v>
      </c>
    </row>
    <row r="22" spans="1:13" x14ac:dyDescent="0.55000000000000004">
      <c r="A22">
        <v>1120</v>
      </c>
      <c r="B22">
        <f t="shared" si="0"/>
        <v>7037.1675440411364</v>
      </c>
      <c r="C22">
        <v>1.5</v>
      </c>
      <c r="D22">
        <v>1</v>
      </c>
      <c r="E22">
        <f t="shared" si="1"/>
        <v>0.66666666666666663</v>
      </c>
      <c r="F22">
        <f t="shared" si="2"/>
        <v>-3.5218251811136252</v>
      </c>
      <c r="G22" s="1"/>
      <c r="L22">
        <v>1120</v>
      </c>
      <c r="M22">
        <f t="shared" si="4"/>
        <v>60.984360453403632</v>
      </c>
    </row>
    <row r="23" spans="1:13" x14ac:dyDescent="0.55000000000000004">
      <c r="A23">
        <v>1200</v>
      </c>
      <c r="B23">
        <f t="shared" si="0"/>
        <v>7539.8223686155034</v>
      </c>
      <c r="C23">
        <v>1.56</v>
      </c>
      <c r="D23">
        <v>0.9</v>
      </c>
      <c r="E23">
        <f t="shared" si="1"/>
        <v>0.57692307692307687</v>
      </c>
      <c r="F23">
        <f t="shared" si="2"/>
        <v>-4.7776417783027352</v>
      </c>
      <c r="G23" s="1"/>
      <c r="L23">
        <v>1200</v>
      </c>
      <c r="M23">
        <f t="shared" si="4"/>
        <v>61.583624920952495</v>
      </c>
    </row>
    <row r="24" spans="1:13" x14ac:dyDescent="0.55000000000000004">
      <c r="A24">
        <v>600</v>
      </c>
      <c r="B24">
        <f t="shared" si="0"/>
        <v>3769.9111843077517</v>
      </c>
      <c r="C24">
        <v>1.54</v>
      </c>
      <c r="D24">
        <v>2.5</v>
      </c>
      <c r="E24">
        <f t="shared" si="1"/>
        <v>1.6233766233766234</v>
      </c>
      <c r="F24">
        <f t="shared" si="2"/>
        <v>4.2083857567114906</v>
      </c>
      <c r="G24" s="1"/>
      <c r="L24">
        <v>600</v>
      </c>
      <c r="M24">
        <f t="shared" si="4"/>
        <v>55.56302500767287</v>
      </c>
    </row>
    <row r="25" spans="1:13" x14ac:dyDescent="0.55000000000000004">
      <c r="A25">
        <v>800</v>
      </c>
      <c r="B25">
        <f t="shared" si="0"/>
        <v>5026.5482457436692</v>
      </c>
      <c r="C25">
        <v>1.5</v>
      </c>
      <c r="D25">
        <v>2.2599999999999998</v>
      </c>
      <c r="E25">
        <f t="shared" si="1"/>
        <v>1.5066666666666666</v>
      </c>
      <c r="F25">
        <f t="shared" si="2"/>
        <v>3.560343601834393</v>
      </c>
      <c r="G25" s="1"/>
      <c r="L25">
        <v>800</v>
      </c>
      <c r="M25">
        <f t="shared" si="4"/>
        <v>58.061799739838875</v>
      </c>
    </row>
    <row r="26" spans="1:13" x14ac:dyDescent="0.55000000000000004">
      <c r="B26">
        <f t="shared" si="0"/>
        <v>0</v>
      </c>
      <c r="G26" s="1"/>
    </row>
    <row r="27" spans="1:13" x14ac:dyDescent="0.55000000000000004">
      <c r="B27">
        <f t="shared" si="0"/>
        <v>0</v>
      </c>
      <c r="G27" s="1"/>
    </row>
    <row r="28" spans="1:13" x14ac:dyDescent="0.55000000000000004">
      <c r="B28">
        <f t="shared" si="0"/>
        <v>0</v>
      </c>
      <c r="G28" s="1"/>
    </row>
    <row r="29" spans="1:13" x14ac:dyDescent="0.55000000000000004">
      <c r="B29">
        <f t="shared" si="0"/>
        <v>0</v>
      </c>
    </row>
    <row r="30" spans="1:13" x14ac:dyDescent="0.55000000000000004">
      <c r="B30">
        <f t="shared" si="0"/>
        <v>0</v>
      </c>
    </row>
    <row r="31" spans="1:13" x14ac:dyDescent="0.55000000000000004">
      <c r="B31">
        <f t="shared" si="0"/>
        <v>0</v>
      </c>
    </row>
    <row r="32" spans="1:13" x14ac:dyDescent="0.55000000000000004">
      <c r="B32">
        <f t="shared" si="0"/>
        <v>0</v>
      </c>
    </row>
    <row r="33" spans="2:2" x14ac:dyDescent="0.55000000000000004">
      <c r="B33">
        <f t="shared" si="0"/>
        <v>0</v>
      </c>
    </row>
    <row r="34" spans="2:2" x14ac:dyDescent="0.55000000000000004">
      <c r="B34">
        <f t="shared" si="0"/>
        <v>0</v>
      </c>
    </row>
    <row r="35" spans="2:2" x14ac:dyDescent="0.55000000000000004">
      <c r="B35">
        <f t="shared" si="0"/>
        <v>0</v>
      </c>
    </row>
    <row r="36" spans="2:2" x14ac:dyDescent="0.55000000000000004">
      <c r="B36">
        <f t="shared" si="0"/>
        <v>0</v>
      </c>
    </row>
    <row r="37" spans="2:2" x14ac:dyDescent="0.55000000000000004">
      <c r="B37">
        <f t="shared" si="0"/>
        <v>0</v>
      </c>
    </row>
    <row r="38" spans="2:2" x14ac:dyDescent="0.55000000000000004">
      <c r="B38">
        <f t="shared" si="0"/>
        <v>0</v>
      </c>
    </row>
    <row r="39" spans="2:2" x14ac:dyDescent="0.55000000000000004">
      <c r="B39">
        <f t="shared" si="0"/>
        <v>0</v>
      </c>
    </row>
    <row r="40" spans="2:2" x14ac:dyDescent="0.55000000000000004">
      <c r="B40">
        <f t="shared" si="0"/>
        <v>0</v>
      </c>
    </row>
    <row r="41" spans="2:2" x14ac:dyDescent="0.55000000000000004">
      <c r="B41">
        <f t="shared" si="0"/>
        <v>0</v>
      </c>
    </row>
    <row r="42" spans="2:2" x14ac:dyDescent="0.55000000000000004">
      <c r="B42">
        <f t="shared" si="0"/>
        <v>0</v>
      </c>
    </row>
    <row r="43" spans="2:2" x14ac:dyDescent="0.55000000000000004">
      <c r="B43">
        <f t="shared" si="0"/>
        <v>0</v>
      </c>
    </row>
    <row r="44" spans="2:2" x14ac:dyDescent="0.55000000000000004">
      <c r="B44">
        <f t="shared" si="0"/>
        <v>0</v>
      </c>
    </row>
    <row r="45" spans="2:2" x14ac:dyDescent="0.55000000000000004">
      <c r="B45">
        <f t="shared" si="0"/>
        <v>0</v>
      </c>
    </row>
    <row r="46" spans="2:2" x14ac:dyDescent="0.55000000000000004">
      <c r="B46">
        <f t="shared" si="0"/>
        <v>0</v>
      </c>
    </row>
    <row r="47" spans="2:2" x14ac:dyDescent="0.55000000000000004">
      <c r="B47">
        <f t="shared" si="0"/>
        <v>0</v>
      </c>
    </row>
    <row r="48" spans="2:2" x14ac:dyDescent="0.55000000000000004">
      <c r="B48">
        <f t="shared" si="0"/>
        <v>0</v>
      </c>
    </row>
    <row r="49" spans="2:2" x14ac:dyDescent="0.55000000000000004">
      <c r="B49">
        <f t="shared" si="0"/>
        <v>0</v>
      </c>
    </row>
    <row r="50" spans="2:2" x14ac:dyDescent="0.55000000000000004">
      <c r="B50">
        <f t="shared" si="0"/>
        <v>0</v>
      </c>
    </row>
    <row r="51" spans="2:2" x14ac:dyDescent="0.55000000000000004">
      <c r="B51">
        <f t="shared" si="0"/>
        <v>0</v>
      </c>
    </row>
    <row r="52" spans="2:2" x14ac:dyDescent="0.55000000000000004">
      <c r="B52">
        <f t="shared" si="0"/>
        <v>0</v>
      </c>
    </row>
    <row r="53" spans="2:2" x14ac:dyDescent="0.55000000000000004">
      <c r="B53">
        <f t="shared" si="0"/>
        <v>0</v>
      </c>
    </row>
    <row r="54" spans="2:2" x14ac:dyDescent="0.55000000000000004">
      <c r="B54">
        <f t="shared" si="0"/>
        <v>0</v>
      </c>
    </row>
    <row r="55" spans="2:2" x14ac:dyDescent="0.55000000000000004">
      <c r="B55">
        <f t="shared" si="0"/>
        <v>0</v>
      </c>
    </row>
    <row r="56" spans="2:2" x14ac:dyDescent="0.55000000000000004">
      <c r="B56">
        <f t="shared" si="0"/>
        <v>0</v>
      </c>
    </row>
    <row r="57" spans="2:2" x14ac:dyDescent="0.55000000000000004">
      <c r="B57">
        <f t="shared" si="0"/>
        <v>0</v>
      </c>
    </row>
    <row r="58" spans="2:2" x14ac:dyDescent="0.55000000000000004">
      <c r="B58">
        <f t="shared" si="0"/>
        <v>0</v>
      </c>
    </row>
    <row r="59" spans="2:2" x14ac:dyDescent="0.55000000000000004">
      <c r="B59">
        <f t="shared" si="0"/>
        <v>0</v>
      </c>
    </row>
    <row r="60" spans="2:2" x14ac:dyDescent="0.55000000000000004">
      <c r="B60">
        <f t="shared" si="0"/>
        <v>0</v>
      </c>
    </row>
    <row r="61" spans="2:2" x14ac:dyDescent="0.55000000000000004">
      <c r="B61">
        <f t="shared" si="0"/>
        <v>0</v>
      </c>
    </row>
    <row r="62" spans="2:2" x14ac:dyDescent="0.55000000000000004">
      <c r="B62">
        <f t="shared" si="0"/>
        <v>0</v>
      </c>
    </row>
    <row r="63" spans="2:2" x14ac:dyDescent="0.55000000000000004">
      <c r="B63">
        <f t="shared" si="0"/>
        <v>0</v>
      </c>
    </row>
    <row r="64" spans="2:2" x14ac:dyDescent="0.55000000000000004">
      <c r="B64">
        <f t="shared" si="0"/>
        <v>0</v>
      </c>
    </row>
    <row r="65" spans="2:2" x14ac:dyDescent="0.55000000000000004">
      <c r="B65">
        <f t="shared" si="0"/>
        <v>0</v>
      </c>
    </row>
    <row r="66" spans="2:2" x14ac:dyDescent="0.55000000000000004">
      <c r="B66">
        <f t="shared" si="0"/>
        <v>0</v>
      </c>
    </row>
    <row r="67" spans="2:2" x14ac:dyDescent="0.55000000000000004">
      <c r="B67">
        <f t="shared" si="0"/>
        <v>0</v>
      </c>
    </row>
    <row r="68" spans="2:2" x14ac:dyDescent="0.55000000000000004">
      <c r="B68">
        <f t="shared" si="0"/>
        <v>0</v>
      </c>
    </row>
    <row r="69" spans="2:2" x14ac:dyDescent="0.55000000000000004">
      <c r="B69">
        <f t="shared" ref="B69:B131" si="5">A69*2*PI()</f>
        <v>0</v>
      </c>
    </row>
    <row r="70" spans="2:2" x14ac:dyDescent="0.55000000000000004">
      <c r="B70">
        <f t="shared" si="5"/>
        <v>0</v>
      </c>
    </row>
    <row r="71" spans="2:2" x14ac:dyDescent="0.55000000000000004">
      <c r="B71">
        <f t="shared" si="5"/>
        <v>0</v>
      </c>
    </row>
    <row r="72" spans="2:2" x14ac:dyDescent="0.55000000000000004">
      <c r="B72">
        <f t="shared" si="5"/>
        <v>0</v>
      </c>
    </row>
    <row r="73" spans="2:2" x14ac:dyDescent="0.55000000000000004">
      <c r="B73">
        <f t="shared" si="5"/>
        <v>0</v>
      </c>
    </row>
    <row r="74" spans="2:2" x14ac:dyDescent="0.55000000000000004">
      <c r="B74">
        <f t="shared" si="5"/>
        <v>0</v>
      </c>
    </row>
    <row r="75" spans="2:2" x14ac:dyDescent="0.55000000000000004">
      <c r="B75">
        <f t="shared" si="5"/>
        <v>0</v>
      </c>
    </row>
    <row r="76" spans="2:2" x14ac:dyDescent="0.55000000000000004">
      <c r="B76">
        <f t="shared" si="5"/>
        <v>0</v>
      </c>
    </row>
    <row r="77" spans="2:2" x14ac:dyDescent="0.55000000000000004">
      <c r="B77">
        <f t="shared" si="5"/>
        <v>0</v>
      </c>
    </row>
    <row r="78" spans="2:2" x14ac:dyDescent="0.55000000000000004">
      <c r="B78">
        <f t="shared" si="5"/>
        <v>0</v>
      </c>
    </row>
    <row r="79" spans="2:2" x14ac:dyDescent="0.55000000000000004">
      <c r="B79">
        <f t="shared" si="5"/>
        <v>0</v>
      </c>
    </row>
    <row r="80" spans="2:2" x14ac:dyDescent="0.55000000000000004">
      <c r="B80">
        <f t="shared" si="5"/>
        <v>0</v>
      </c>
    </row>
    <row r="81" spans="2:2" x14ac:dyDescent="0.55000000000000004">
      <c r="B81">
        <f t="shared" si="5"/>
        <v>0</v>
      </c>
    </row>
    <row r="82" spans="2:2" x14ac:dyDescent="0.55000000000000004">
      <c r="B82">
        <f t="shared" si="5"/>
        <v>0</v>
      </c>
    </row>
    <row r="83" spans="2:2" x14ac:dyDescent="0.55000000000000004">
      <c r="B83">
        <f t="shared" si="5"/>
        <v>0</v>
      </c>
    </row>
    <row r="84" spans="2:2" x14ac:dyDescent="0.55000000000000004">
      <c r="B84">
        <f t="shared" si="5"/>
        <v>0</v>
      </c>
    </row>
    <row r="85" spans="2:2" x14ac:dyDescent="0.55000000000000004">
      <c r="B85">
        <f t="shared" si="5"/>
        <v>0</v>
      </c>
    </row>
    <row r="86" spans="2:2" x14ac:dyDescent="0.55000000000000004">
      <c r="B86">
        <f t="shared" si="5"/>
        <v>0</v>
      </c>
    </row>
    <row r="87" spans="2:2" x14ac:dyDescent="0.55000000000000004">
      <c r="B87">
        <f t="shared" si="5"/>
        <v>0</v>
      </c>
    </row>
    <row r="88" spans="2:2" x14ac:dyDescent="0.55000000000000004">
      <c r="B88">
        <f t="shared" si="5"/>
        <v>0</v>
      </c>
    </row>
    <row r="89" spans="2:2" x14ac:dyDescent="0.55000000000000004">
      <c r="B89">
        <f t="shared" si="5"/>
        <v>0</v>
      </c>
    </row>
    <row r="90" spans="2:2" x14ac:dyDescent="0.55000000000000004">
      <c r="B90">
        <f t="shared" si="5"/>
        <v>0</v>
      </c>
    </row>
    <row r="91" spans="2:2" x14ac:dyDescent="0.55000000000000004">
      <c r="B91">
        <f t="shared" si="5"/>
        <v>0</v>
      </c>
    </row>
    <row r="92" spans="2:2" x14ac:dyDescent="0.55000000000000004">
      <c r="B92">
        <f t="shared" si="5"/>
        <v>0</v>
      </c>
    </row>
    <row r="93" spans="2:2" x14ac:dyDescent="0.55000000000000004">
      <c r="B93">
        <f t="shared" si="5"/>
        <v>0</v>
      </c>
    </row>
    <row r="94" spans="2:2" x14ac:dyDescent="0.55000000000000004">
      <c r="B94">
        <f t="shared" si="5"/>
        <v>0</v>
      </c>
    </row>
    <row r="95" spans="2:2" x14ac:dyDescent="0.55000000000000004">
      <c r="B95">
        <f t="shared" si="5"/>
        <v>0</v>
      </c>
    </row>
    <row r="96" spans="2:2" x14ac:dyDescent="0.55000000000000004">
      <c r="B96">
        <f t="shared" si="5"/>
        <v>0</v>
      </c>
    </row>
    <row r="97" spans="2:2" x14ac:dyDescent="0.55000000000000004">
      <c r="B97">
        <f t="shared" si="5"/>
        <v>0</v>
      </c>
    </row>
    <row r="98" spans="2:2" x14ac:dyDescent="0.55000000000000004">
      <c r="B98">
        <f t="shared" si="5"/>
        <v>0</v>
      </c>
    </row>
    <row r="99" spans="2:2" x14ac:dyDescent="0.55000000000000004">
      <c r="B99">
        <f t="shared" si="5"/>
        <v>0</v>
      </c>
    </row>
    <row r="100" spans="2:2" x14ac:dyDescent="0.55000000000000004">
      <c r="B100">
        <f t="shared" si="5"/>
        <v>0</v>
      </c>
    </row>
    <row r="101" spans="2:2" x14ac:dyDescent="0.55000000000000004">
      <c r="B101">
        <f t="shared" si="5"/>
        <v>0</v>
      </c>
    </row>
    <row r="102" spans="2:2" x14ac:dyDescent="0.55000000000000004">
      <c r="B102">
        <f t="shared" si="5"/>
        <v>0</v>
      </c>
    </row>
    <row r="103" spans="2:2" x14ac:dyDescent="0.55000000000000004">
      <c r="B103">
        <f t="shared" si="5"/>
        <v>0</v>
      </c>
    </row>
    <row r="104" spans="2:2" x14ac:dyDescent="0.55000000000000004">
      <c r="B104">
        <f t="shared" si="5"/>
        <v>0</v>
      </c>
    </row>
    <row r="105" spans="2:2" x14ac:dyDescent="0.55000000000000004">
      <c r="B105">
        <f t="shared" si="5"/>
        <v>0</v>
      </c>
    </row>
    <row r="106" spans="2:2" x14ac:dyDescent="0.55000000000000004">
      <c r="B106">
        <f t="shared" si="5"/>
        <v>0</v>
      </c>
    </row>
    <row r="107" spans="2:2" x14ac:dyDescent="0.55000000000000004">
      <c r="B107">
        <f t="shared" si="5"/>
        <v>0</v>
      </c>
    </row>
    <row r="108" spans="2:2" x14ac:dyDescent="0.55000000000000004">
      <c r="B108">
        <f t="shared" si="5"/>
        <v>0</v>
      </c>
    </row>
    <row r="109" spans="2:2" x14ac:dyDescent="0.55000000000000004">
      <c r="B109">
        <f t="shared" si="5"/>
        <v>0</v>
      </c>
    </row>
    <row r="110" spans="2:2" x14ac:dyDescent="0.55000000000000004">
      <c r="B110">
        <f t="shared" si="5"/>
        <v>0</v>
      </c>
    </row>
    <row r="111" spans="2:2" x14ac:dyDescent="0.55000000000000004">
      <c r="B111">
        <f t="shared" si="5"/>
        <v>0</v>
      </c>
    </row>
    <row r="112" spans="2:2" x14ac:dyDescent="0.55000000000000004">
      <c r="B112">
        <f t="shared" si="5"/>
        <v>0</v>
      </c>
    </row>
    <row r="113" spans="2:2" x14ac:dyDescent="0.55000000000000004">
      <c r="B113">
        <f t="shared" si="5"/>
        <v>0</v>
      </c>
    </row>
    <row r="114" spans="2:2" x14ac:dyDescent="0.55000000000000004">
      <c r="B114">
        <f t="shared" si="5"/>
        <v>0</v>
      </c>
    </row>
    <row r="115" spans="2:2" x14ac:dyDescent="0.55000000000000004">
      <c r="B115">
        <f t="shared" si="5"/>
        <v>0</v>
      </c>
    </row>
    <row r="116" spans="2:2" x14ac:dyDescent="0.55000000000000004">
      <c r="B116">
        <f t="shared" si="5"/>
        <v>0</v>
      </c>
    </row>
    <row r="117" spans="2:2" x14ac:dyDescent="0.55000000000000004">
      <c r="B117">
        <f t="shared" si="5"/>
        <v>0</v>
      </c>
    </row>
    <row r="118" spans="2:2" x14ac:dyDescent="0.55000000000000004">
      <c r="B118">
        <f t="shared" si="5"/>
        <v>0</v>
      </c>
    </row>
    <row r="119" spans="2:2" x14ac:dyDescent="0.55000000000000004">
      <c r="B119">
        <f t="shared" si="5"/>
        <v>0</v>
      </c>
    </row>
    <row r="120" spans="2:2" x14ac:dyDescent="0.55000000000000004">
      <c r="B120">
        <f t="shared" si="5"/>
        <v>0</v>
      </c>
    </row>
    <row r="121" spans="2:2" x14ac:dyDescent="0.55000000000000004">
      <c r="B121">
        <f t="shared" si="5"/>
        <v>0</v>
      </c>
    </row>
    <row r="122" spans="2:2" x14ac:dyDescent="0.55000000000000004">
      <c r="B122">
        <f t="shared" si="5"/>
        <v>0</v>
      </c>
    </row>
    <row r="123" spans="2:2" x14ac:dyDescent="0.55000000000000004">
      <c r="B123">
        <f t="shared" si="5"/>
        <v>0</v>
      </c>
    </row>
    <row r="124" spans="2:2" x14ac:dyDescent="0.55000000000000004">
      <c r="B124">
        <f t="shared" si="5"/>
        <v>0</v>
      </c>
    </row>
    <row r="125" spans="2:2" x14ac:dyDescent="0.55000000000000004">
      <c r="B125">
        <f t="shared" si="5"/>
        <v>0</v>
      </c>
    </row>
    <row r="126" spans="2:2" x14ac:dyDescent="0.55000000000000004">
      <c r="B126">
        <f t="shared" si="5"/>
        <v>0</v>
      </c>
    </row>
    <row r="127" spans="2:2" x14ac:dyDescent="0.55000000000000004">
      <c r="B127">
        <f t="shared" si="5"/>
        <v>0</v>
      </c>
    </row>
    <row r="128" spans="2:2" x14ac:dyDescent="0.55000000000000004">
      <c r="B128">
        <f t="shared" si="5"/>
        <v>0</v>
      </c>
    </row>
    <row r="129" spans="2:2" x14ac:dyDescent="0.55000000000000004">
      <c r="B129">
        <f t="shared" si="5"/>
        <v>0</v>
      </c>
    </row>
    <row r="130" spans="2:2" x14ac:dyDescent="0.55000000000000004">
      <c r="B130">
        <f t="shared" si="5"/>
        <v>0</v>
      </c>
    </row>
    <row r="131" spans="2:2" x14ac:dyDescent="0.55000000000000004">
      <c r="B131">
        <f t="shared" si="5"/>
        <v>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栁原魁人</dc:creator>
  <cp:lastModifiedBy>栁原 魁人_長野</cp:lastModifiedBy>
  <dcterms:created xsi:type="dcterms:W3CDTF">2025-11-28T04:32:14Z</dcterms:created>
  <dcterms:modified xsi:type="dcterms:W3CDTF">2025-11-28T05:53:44Z</dcterms:modified>
</cp:coreProperties>
</file>